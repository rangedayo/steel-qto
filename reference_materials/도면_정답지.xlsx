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_2025-26\aiffel_p\c_partner\steel-qto\reference_materials\"/>
    </mc:Choice>
  </mc:AlternateContent>
  <xr:revisionPtr revIDLastSave="0" documentId="13_ncr:1_{0EDD54BE-63C4-44AE-8FBE-68E24A3BAE9C}" xr6:coauthVersionLast="47" xr6:coauthVersionMax="47" xr10:uidLastSave="{00000000-0000-0000-0000-000000000000}"/>
  <bookViews>
    <workbookView xWindow="3960" yWindow="684" windowWidth="16416" windowHeight="11820" tabRatio="500" firstSheet="5" activeTab="8" xr2:uid="{00000000-000D-0000-FFFF-FFFF00000000}"/>
  </bookViews>
  <sheets>
    <sheet name="도면1-기둥" sheetId="1" r:id="rId1"/>
    <sheet name="도면1-보" sheetId="2" r:id="rId2"/>
    <sheet name="도면2-기둥" sheetId="3" r:id="rId3"/>
    <sheet name="도면2-보" sheetId="4" r:id="rId4"/>
    <sheet name="도면3-기둥" sheetId="5" r:id="rId5"/>
    <sheet name="도면3-보" sheetId="6" r:id="rId6"/>
    <sheet name="도면4-기둥" sheetId="7" r:id="rId7"/>
    <sheet name="도면4-보" sheetId="8" r:id="rId8"/>
    <sheet name="도면5-기둥" sheetId="9" r:id="rId9"/>
    <sheet name="도면5-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" i="10" l="1"/>
  <c r="M9" i="10"/>
  <c r="L9" i="10"/>
  <c r="K9" i="10"/>
  <c r="J9" i="10"/>
  <c r="I9" i="10"/>
  <c r="H9" i="10"/>
  <c r="G9" i="10"/>
  <c r="F9" i="10"/>
  <c r="E9" i="10"/>
  <c r="O9" i="10" s="1"/>
  <c r="D9" i="10"/>
  <c r="C9" i="10"/>
  <c r="O8" i="10"/>
  <c r="O7" i="10"/>
  <c r="O6" i="10"/>
  <c r="O5" i="10"/>
  <c r="O4" i="10"/>
  <c r="O3" i="10"/>
  <c r="O2" i="10"/>
  <c r="F9" i="9"/>
  <c r="E9" i="9"/>
  <c r="D9" i="9"/>
  <c r="C9" i="9"/>
  <c r="G9" i="9" s="1"/>
  <c r="G8" i="9"/>
  <c r="G7" i="9"/>
  <c r="G6" i="9"/>
  <c r="G5" i="9"/>
  <c r="G4" i="9"/>
  <c r="G3" i="9"/>
  <c r="G2" i="9"/>
  <c r="F4" i="8"/>
  <c r="E4" i="8"/>
  <c r="D4" i="8"/>
  <c r="C4" i="8"/>
  <c r="G4" i="8" s="1"/>
  <c r="G3" i="8"/>
  <c r="G2" i="8"/>
  <c r="H4" i="7"/>
  <c r="G4" i="7"/>
  <c r="F4" i="7"/>
  <c r="E4" i="7"/>
  <c r="D4" i="7"/>
  <c r="C4" i="7"/>
  <c r="H3" i="7"/>
  <c r="H2" i="7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T7" i="6"/>
  <c r="T6" i="6"/>
  <c r="T5" i="6"/>
  <c r="T4" i="6"/>
  <c r="T3" i="6"/>
  <c r="T2" i="6"/>
  <c r="F8" i="5"/>
  <c r="E8" i="5"/>
  <c r="D8" i="5"/>
  <c r="C8" i="5"/>
  <c r="G8" i="5" s="1"/>
  <c r="G7" i="5"/>
  <c r="G6" i="5"/>
  <c r="G5" i="5"/>
  <c r="G4" i="5"/>
  <c r="G3" i="5"/>
  <c r="G2" i="5"/>
  <c r="F7" i="4"/>
  <c r="E7" i="4"/>
  <c r="D7" i="4"/>
  <c r="C7" i="4"/>
  <c r="G7" i="4" s="1"/>
  <c r="G6" i="4"/>
  <c r="G5" i="4"/>
  <c r="G4" i="4"/>
  <c r="G3" i="4"/>
  <c r="G2" i="4"/>
  <c r="G7" i="3"/>
  <c r="F7" i="3"/>
  <c r="E7" i="3"/>
  <c r="D7" i="3"/>
  <c r="C7" i="3"/>
  <c r="H7" i="3" s="1"/>
  <c r="H6" i="3"/>
  <c r="H5" i="3"/>
  <c r="H4" i="3"/>
  <c r="H3" i="3"/>
  <c r="H2" i="3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R18" i="2" s="1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R2" i="2"/>
  <c r="G18" i="1"/>
  <c r="F18" i="1"/>
  <c r="E18" i="1"/>
  <c r="D18" i="1"/>
  <c r="C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T8" i="6" l="1"/>
</calcChain>
</file>

<file path=xl/sharedStrings.xml><?xml version="1.0" encoding="utf-8"?>
<sst xmlns="http://schemas.openxmlformats.org/spreadsheetml/2006/main" count="247" uniqueCount="94">
  <si>
    <t>도면명</t>
  </si>
  <si>
    <t>분석 대상</t>
  </si>
  <si>
    <t>MC1</t>
  </si>
  <si>
    <t>MC2</t>
  </si>
  <si>
    <t>MC3</t>
  </si>
  <si>
    <t>SC1</t>
  </si>
  <si>
    <t>합계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</si>
  <si>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  <r>
      <rPr>
        <sz val="11"/>
        <rFont val="맑은 고딕"/>
        <family val="3"/>
        <charset val="129"/>
      </rPr>
      <t>-1(1~3</t>
    </r>
    <r>
      <rPr>
        <sz val="11"/>
        <rFont val="Noto Sans CJK SC"/>
        <family val="2"/>
      </rPr>
      <t>층 기둥주심도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</si>
  <si>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H</t>
    </r>
    <r>
      <rPr>
        <sz val="11"/>
        <rFont val="Noto Sans CJK SC"/>
        <family val="2"/>
      </rPr>
      <t>빔 기둥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</si>
  <si>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  <r>
      <rPr>
        <sz val="11"/>
        <rFont val="맑은 고딕"/>
        <family val="3"/>
        <charset val="129"/>
      </rPr>
      <t>-2(</t>
    </r>
    <r>
      <rPr>
        <sz val="11"/>
        <rFont val="Noto Sans CJK SC"/>
        <family val="2"/>
      </rPr>
      <t>옥상층 기둥주심도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</si>
  <si>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  <r>
      <rPr>
        <sz val="11"/>
        <rFont val="맑은 고딕"/>
        <family val="3"/>
        <charset val="129"/>
      </rPr>
      <t>-1(1~3</t>
    </r>
    <r>
      <rPr>
        <sz val="11"/>
        <rFont val="Noto Sans CJK SC"/>
        <family val="2"/>
      </rPr>
      <t>층 기둥부호도</t>
    </r>
    <r>
      <rPr>
        <sz val="11"/>
        <rFont val="맑은 고딕"/>
        <family val="3"/>
        <charset val="129"/>
      </rPr>
      <t>)</t>
    </r>
  </si>
  <si>
    <t>N/A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</si>
  <si>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  <r>
      <rPr>
        <sz val="11"/>
        <rFont val="맑은 고딕"/>
        <family val="3"/>
        <charset val="129"/>
      </rPr>
      <t>-2(</t>
    </r>
    <r>
      <rPr>
        <sz val="11"/>
        <rFont val="Noto Sans CJK SC"/>
        <family val="2"/>
      </rPr>
      <t>옥상층 기둥부호도</t>
    </r>
    <r>
      <rPr>
        <sz val="11"/>
        <rFont val="맑은 고딕"/>
        <family val="3"/>
        <charset val="129"/>
      </rPr>
      <t>)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</si>
  <si>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기초구조도</t>
    </r>
  </si>
  <si>
    <t>철근</t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</si>
  <si>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)2</t>
    </r>
    <r>
      <rPr>
        <sz val="11"/>
        <rFont val="Noto Sans CJK SC"/>
        <family val="2"/>
      </rPr>
      <t>층바닥보복도</t>
    </r>
  </si>
  <si>
    <r>
      <rPr>
        <sz val="11"/>
        <rFont val="Noto Sans CJK SC"/>
        <family val="2"/>
      </rPr>
      <t>구조평면도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보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</si>
  <si>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)3</t>
    </r>
    <r>
      <rPr>
        <sz val="11"/>
        <rFont val="Noto Sans CJK SC"/>
        <family val="2"/>
      </rPr>
      <t>층바닥보복도</t>
    </r>
  </si>
  <si>
    <r>
      <rPr>
        <sz val="11"/>
        <rFont val="맑은 고딕"/>
        <family val="3"/>
        <charset val="129"/>
      </rPr>
      <t>(1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옥상바닥보복도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</si>
  <si>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기둥주심도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</si>
  <si>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기둥부호도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</si>
  <si>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기초구조도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</si>
  <si>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)SL+4.0M</t>
    </r>
    <r>
      <rPr>
        <sz val="11"/>
        <rFont val="Noto Sans CJK SC"/>
        <family val="2"/>
      </rPr>
      <t>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</si>
  <si>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)SL+4.7M</t>
    </r>
    <r>
      <rPr>
        <sz val="11"/>
        <rFont val="Noto Sans CJK SC"/>
        <family val="2"/>
      </rPr>
      <t>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</si>
  <si>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</t>
    </r>
    <r>
      <rPr>
        <sz val="11"/>
        <rFont val="Noto Sans CJK SC"/>
        <family val="2"/>
      </rPr>
      <t>지붕구조평면도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</si>
  <si>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)Y01</t>
    </r>
    <r>
      <rPr>
        <sz val="11"/>
        <rFont val="Noto Sans CJK SC"/>
        <family val="2"/>
      </rPr>
      <t>열골구도</t>
    </r>
  </si>
  <si>
    <r>
      <rPr>
        <sz val="11"/>
        <rFont val="Noto Sans CJK SC"/>
        <family val="2"/>
      </rPr>
      <t>단면도</t>
    </r>
    <r>
      <rPr>
        <sz val="11"/>
        <rFont val="맑은 고딕"/>
        <family val="3"/>
        <charset val="129"/>
      </rPr>
      <t>, H</t>
    </r>
    <r>
      <rPr>
        <sz val="11"/>
        <rFont val="Noto Sans CJK SC"/>
        <family val="2"/>
      </rPr>
      <t xml:space="preserve">빔 높이 </t>
    </r>
    <r>
      <rPr>
        <sz val="11"/>
        <rFont val="맑은 고딕"/>
        <family val="3"/>
        <charset val="129"/>
      </rPr>
      <t xml:space="preserve">+ </t>
    </r>
    <r>
      <rPr>
        <sz val="11"/>
        <rFont val="Noto Sans CJK SC"/>
        <family val="2"/>
      </rPr>
      <t>보</t>
    </r>
  </si>
  <si>
    <r>
      <rPr>
        <sz val="11"/>
        <rFont val="맑은 고딕"/>
        <family val="3"/>
        <charset val="129"/>
      </rPr>
      <t>(2</t>
    </r>
    <r>
      <rPr>
        <sz val="11"/>
        <rFont val="Noto Sans CJK SC"/>
        <family val="2"/>
      </rPr>
      <t>동</t>
    </r>
    <r>
      <rPr>
        <sz val="11"/>
        <rFont val="맑은 고딕"/>
        <family val="3"/>
        <charset val="129"/>
      </rPr>
      <t>)Y03,Y05</t>
    </r>
    <r>
      <rPr>
        <sz val="11"/>
        <rFont val="Noto Sans CJK SC"/>
        <family val="2"/>
      </rPr>
      <t>열골구도</t>
    </r>
  </si>
  <si>
    <t>SG1</t>
  </si>
  <si>
    <t>SG2</t>
  </si>
  <si>
    <t>SG3</t>
  </si>
  <si>
    <t>SB1</t>
  </si>
  <si>
    <t>SB2</t>
  </si>
  <si>
    <t>SB3</t>
  </si>
  <si>
    <t>RSG1</t>
  </si>
  <si>
    <t>RSG2</t>
  </si>
  <si>
    <t>RSG3</t>
  </si>
  <si>
    <t>RSB1</t>
  </si>
  <si>
    <t>RSB2</t>
  </si>
  <si>
    <t>RSB3</t>
  </si>
  <si>
    <t>MT1</t>
  </si>
  <si>
    <t>VG1</t>
  </si>
  <si>
    <t>VT1</t>
  </si>
  <si>
    <t>SC2</t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</si>
  <si>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 xml:space="preserve">나동 입면도
</t>
    </r>
    <r>
      <rPr>
        <sz val="11"/>
        <rFont val="맑은 고딕"/>
        <family val="3"/>
        <charset val="129"/>
      </rPr>
      <t>(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정면도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좌측면도</t>
    </r>
    <r>
      <rPr>
        <sz val="11"/>
        <rFont val="맑은 고딕"/>
        <family val="3"/>
        <charset val="129"/>
      </rPr>
      <t>)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</si>
  <si>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종단면도</t>
    </r>
  </si>
  <si>
    <r>
      <rPr>
        <sz val="11"/>
        <rFont val="Noto Sans CJK SC"/>
        <family val="2"/>
      </rPr>
      <t>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</si>
  <si>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r>
      <rPr>
        <sz val="11"/>
        <rFont val="Noto Sans CJK SC"/>
        <family val="2"/>
      </rPr>
      <t>가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나동 횡단면도</t>
    </r>
  </si>
  <si>
    <r>
      <rPr>
        <sz val="11"/>
        <rFont val="Noto Sans CJK SC"/>
        <family val="2"/>
      </rPr>
      <t>기둥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</si>
  <si>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t>기둥</t>
  </si>
  <si>
    <t>C1</t>
  </si>
  <si>
    <t>C2</t>
  </si>
  <si>
    <t>C3</t>
  </si>
  <si>
    <t>C4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</si>
  <si>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층바닥 구조평면도</t>
    </r>
  </si>
  <si>
    <t>보</t>
  </si>
  <si>
    <r>
      <rPr>
        <sz val="11"/>
        <rFont val="맑은 고딕"/>
        <family val="3"/>
        <charset val="129"/>
      </rPr>
      <t>2</t>
    </r>
    <r>
      <rPr>
        <sz val="11"/>
        <rFont val="Noto Sans CJK SC"/>
        <family val="2"/>
      </rPr>
      <t>층바닥 구조평면도</t>
    </r>
  </si>
  <si>
    <r>
      <rPr>
        <sz val="11"/>
        <rFont val="Noto Sans CJK SC"/>
        <family val="2"/>
      </rPr>
      <t>중간</t>
    </r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층바닥 구조평면도</t>
    </r>
  </si>
  <si>
    <t>지붕층 구조평면도</t>
  </si>
  <si>
    <r>
      <rPr>
        <sz val="11"/>
        <rFont val="Noto Sans CJK SC"/>
        <family val="2"/>
      </rPr>
      <t>입면도</t>
    </r>
    <r>
      <rPr>
        <sz val="11"/>
        <rFont val="맑은 고딕"/>
        <family val="3"/>
        <charset val="129"/>
      </rPr>
      <t>-2</t>
    </r>
  </si>
  <si>
    <r>
      <rPr>
        <sz val="11"/>
        <rFont val="Noto Sans CJK SC"/>
        <family val="2"/>
      </rPr>
      <t>종단면도</t>
    </r>
    <r>
      <rPr>
        <sz val="11"/>
        <rFont val="맑은 고딕"/>
        <family val="3"/>
        <charset val="129"/>
      </rPr>
      <t>,</t>
    </r>
    <r>
      <rPr>
        <sz val="11"/>
        <rFont val="Noto Sans CJK SC"/>
        <family val="2"/>
      </rPr>
      <t>계단단면도</t>
    </r>
  </si>
  <si>
    <t>높이</t>
  </si>
  <si>
    <t>CG1</t>
  </si>
  <si>
    <t>CG2</t>
  </si>
  <si>
    <t>G1</t>
  </si>
  <si>
    <t>G2</t>
  </si>
  <si>
    <t>G3</t>
  </si>
  <si>
    <t>G4</t>
  </si>
  <si>
    <t>G5</t>
  </si>
  <si>
    <t>G6</t>
  </si>
  <si>
    <t>MG1</t>
  </si>
  <si>
    <t>B1</t>
  </si>
  <si>
    <t>B2</t>
  </si>
  <si>
    <t>B3</t>
  </si>
  <si>
    <t>CB1</t>
  </si>
  <si>
    <t>RG1</t>
  </si>
  <si>
    <t>RG2</t>
  </si>
  <si>
    <t>RG3</t>
  </si>
  <si>
    <t>RG4</t>
  </si>
  <si>
    <t>RB1</t>
  </si>
  <si>
    <r>
      <rPr>
        <sz val="11"/>
        <rFont val="맑은 고딕"/>
        <family val="3"/>
        <charset val="129"/>
      </rPr>
      <t>1</t>
    </r>
    <r>
      <rPr>
        <sz val="11"/>
        <rFont val="Noto Sans CJK SC"/>
        <family val="2"/>
      </rPr>
      <t>층 구조평면도</t>
    </r>
  </si>
  <si>
    <r>
      <rPr>
        <sz val="11"/>
        <rFont val="Noto Sans CJK SC"/>
        <family val="2"/>
      </rPr>
      <t>입면도</t>
    </r>
    <r>
      <rPr>
        <sz val="11"/>
        <rFont val="맑은 고딕"/>
        <family val="3"/>
        <charset val="129"/>
      </rPr>
      <t>1</t>
    </r>
  </si>
  <si>
    <r>
      <rPr>
        <sz val="11"/>
        <rFont val="Noto Sans CJK SC"/>
        <family val="2"/>
      </rPr>
      <t>주단면도</t>
    </r>
    <r>
      <rPr>
        <sz val="11"/>
        <rFont val="맑은 고딕"/>
        <family val="3"/>
        <charset val="129"/>
      </rPr>
      <t>1</t>
    </r>
  </si>
  <si>
    <r>
      <rPr>
        <sz val="11"/>
        <rFont val="Noto Sans CJK SC"/>
        <family val="2"/>
      </rPr>
      <t>주단면도</t>
    </r>
    <r>
      <rPr>
        <sz val="11"/>
        <rFont val="맑은 고딕"/>
        <family val="3"/>
        <charset val="129"/>
      </rPr>
      <t>4</t>
    </r>
  </si>
  <si>
    <t>지붕층바닥 구조평면도</t>
  </si>
  <si>
    <r>
      <rPr>
        <sz val="11"/>
        <rFont val="맑은 고딕"/>
        <family val="3"/>
        <charset val="129"/>
      </rPr>
      <t xml:space="preserve">Y1 </t>
    </r>
    <r>
      <rPr>
        <sz val="11"/>
        <rFont val="Noto Sans CJK SC"/>
        <family val="2"/>
      </rPr>
      <t>축열 골조도</t>
    </r>
  </si>
  <si>
    <r>
      <rPr>
        <sz val="11"/>
        <rFont val="Noto Sans CJK SC"/>
        <family val="2"/>
      </rPr>
      <t>길이</t>
    </r>
    <r>
      <rPr>
        <sz val="11"/>
        <rFont val="맑은 고딕"/>
        <family val="3"/>
        <charset val="129"/>
      </rPr>
      <t xml:space="preserve">, </t>
    </r>
    <r>
      <rPr>
        <sz val="11"/>
        <rFont val="Noto Sans CJK SC"/>
        <family val="2"/>
      </rPr>
      <t>높이</t>
    </r>
  </si>
  <si>
    <t>MG2</t>
  </si>
  <si>
    <t>RS1</t>
  </si>
  <si>
    <t>기둥</t>
    <phoneticPr fontId="7" type="noConversion"/>
  </si>
  <si>
    <t>보</t>
    <phoneticPr fontId="7" type="noConversion"/>
  </si>
  <si>
    <r>
      <rPr>
        <sz val="11"/>
        <rFont val="맑은 고딕"/>
        <family val="3"/>
        <charset val="129"/>
      </rPr>
      <t>가,나동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1층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구조평면도</t>
    </r>
    <phoneticPr fontId="7" type="noConversion"/>
  </si>
  <si>
    <r>
      <rPr>
        <sz val="11"/>
        <rFont val="맑은 고딕"/>
        <family val="3"/>
        <charset val="129"/>
      </rPr>
      <t>가,나동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지붕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구조평면도</t>
    </r>
    <phoneticPr fontId="7" type="noConversion"/>
  </si>
  <si>
    <r>
      <rPr>
        <sz val="11"/>
        <rFont val="맑은 고딕"/>
        <family val="3"/>
        <charset val="129"/>
      </rPr>
      <t>가,나동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입면도
(가,나동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정면도, 가,나동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좌측면도)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</si>
</sst>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</font>
    <font>
      <b/>
      <sz val="11"/>
      <name val="Noto Sans CJK SC"/>
      <family val="2"/>
    </font>
    <font>
      <b/>
      <sz val="11"/>
      <name val="맑은 고딕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  <font>
      <sz val="11"/>
      <name val="Noto Sans CJK S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I13" sqref="I13"/>
    </sheetView>
  </sheetViews>
  <sheetFormatPr defaultColWidth="8.6640625" defaultRowHeight="14.4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17.399999999999999">
      <c r="A2" s="3" t="s">
        <v>7</v>
      </c>
      <c r="B2" s="3" t="s">
        <v>8</v>
      </c>
      <c r="C2" s="4">
        <v>12</v>
      </c>
      <c r="D2" s="4">
        <v>6</v>
      </c>
      <c r="E2" s="4"/>
      <c r="F2" s="4"/>
      <c r="G2" s="4">
        <f t="shared" ref="G2:G18" si="0">SUM(C2:F2)</f>
        <v>18</v>
      </c>
    </row>
    <row r="3" spans="1:7" ht="17.399999999999999">
      <c r="A3" s="3" t="s">
        <v>9</v>
      </c>
      <c r="B3" s="3" t="s">
        <v>8</v>
      </c>
      <c r="C3" s="4"/>
      <c r="D3" s="4">
        <v>4</v>
      </c>
      <c r="E3" s="4"/>
      <c r="F3" s="4"/>
      <c r="G3" s="4">
        <f t="shared" si="0"/>
        <v>4</v>
      </c>
    </row>
    <row r="4" spans="1:7" ht="17.399999999999999">
      <c r="A4" s="3" t="s">
        <v>10</v>
      </c>
      <c r="B4" s="3" t="s">
        <v>11</v>
      </c>
      <c r="C4" s="4">
        <v>12</v>
      </c>
      <c r="D4" s="4">
        <v>6</v>
      </c>
      <c r="E4" s="4"/>
      <c r="F4" s="4"/>
      <c r="G4" s="4">
        <f t="shared" si="0"/>
        <v>18</v>
      </c>
    </row>
    <row r="5" spans="1:7" ht="17.399999999999999">
      <c r="A5" s="3" t="s">
        <v>12</v>
      </c>
      <c r="B5" s="3" t="s">
        <v>11</v>
      </c>
      <c r="C5" s="4"/>
      <c r="D5" s="4">
        <v>4</v>
      </c>
      <c r="E5" s="4"/>
      <c r="F5" s="4"/>
      <c r="G5" s="4">
        <f t="shared" si="0"/>
        <v>4</v>
      </c>
    </row>
    <row r="6" spans="1:7" ht="17.399999999999999">
      <c r="A6" s="3" t="s">
        <v>13</v>
      </c>
      <c r="B6" s="5" t="s">
        <v>14</v>
      </c>
      <c r="C6" s="4"/>
      <c r="D6" s="4"/>
      <c r="E6" s="4"/>
      <c r="F6" s="4"/>
      <c r="G6" s="4">
        <f t="shared" si="0"/>
        <v>0</v>
      </c>
    </row>
    <row r="7" spans="1:7" ht="17.399999999999999">
      <c r="A7" s="3" t="s">
        <v>15</v>
      </c>
      <c r="B7" s="5" t="s">
        <v>16</v>
      </c>
      <c r="C7" s="4"/>
      <c r="D7" s="4"/>
      <c r="E7" s="4"/>
      <c r="F7" s="4"/>
      <c r="G7" s="4">
        <f t="shared" si="0"/>
        <v>0</v>
      </c>
    </row>
    <row r="8" spans="1:7" ht="17.399999999999999">
      <c r="A8" s="3" t="s">
        <v>17</v>
      </c>
      <c r="B8" s="5" t="s">
        <v>16</v>
      </c>
      <c r="C8" s="4"/>
      <c r="D8" s="4"/>
      <c r="E8" s="4"/>
      <c r="F8" s="4"/>
      <c r="G8" s="4">
        <f t="shared" si="0"/>
        <v>0</v>
      </c>
    </row>
    <row r="9" spans="1:7" ht="17.399999999999999">
      <c r="A9" s="3" t="s">
        <v>18</v>
      </c>
      <c r="B9" s="5" t="s">
        <v>16</v>
      </c>
      <c r="C9" s="4"/>
      <c r="D9" s="4"/>
      <c r="E9" s="4"/>
      <c r="F9" s="4"/>
      <c r="G9" s="4">
        <f t="shared" si="0"/>
        <v>0</v>
      </c>
    </row>
    <row r="10" spans="1:7" ht="17.399999999999999">
      <c r="A10" s="3" t="s">
        <v>19</v>
      </c>
      <c r="B10" s="3" t="s">
        <v>8</v>
      </c>
      <c r="C10" s="9">
        <v>15</v>
      </c>
      <c r="D10" s="9">
        <v>4</v>
      </c>
      <c r="E10" s="9">
        <v>2</v>
      </c>
      <c r="F10" s="9">
        <v>4</v>
      </c>
      <c r="G10" s="9">
        <f t="shared" si="0"/>
        <v>25</v>
      </c>
    </row>
    <row r="11" spans="1:7" ht="17.399999999999999">
      <c r="A11" s="3" t="s">
        <v>20</v>
      </c>
      <c r="B11" s="3" t="s">
        <v>11</v>
      </c>
      <c r="C11" s="4">
        <v>15</v>
      </c>
      <c r="D11" s="4">
        <v>4</v>
      </c>
      <c r="E11" s="4">
        <v>2</v>
      </c>
      <c r="F11" s="4">
        <v>4</v>
      </c>
      <c r="G11" s="4">
        <f t="shared" si="0"/>
        <v>25</v>
      </c>
    </row>
    <row r="12" spans="1:7" ht="17.399999999999999">
      <c r="A12" s="3" t="s">
        <v>21</v>
      </c>
      <c r="B12" s="3"/>
      <c r="C12" s="4"/>
      <c r="D12" s="4"/>
      <c r="E12" s="4"/>
      <c r="F12" s="4"/>
      <c r="G12" s="4">
        <f t="shared" si="0"/>
        <v>0</v>
      </c>
    </row>
    <row r="13" spans="1:7" ht="17.399999999999999">
      <c r="A13" s="3" t="s">
        <v>22</v>
      </c>
      <c r="B13" s="3"/>
      <c r="C13" s="4"/>
      <c r="D13" s="4"/>
      <c r="E13" s="4">
        <v>2</v>
      </c>
      <c r="F13" s="4"/>
      <c r="G13" s="4">
        <f t="shared" si="0"/>
        <v>2</v>
      </c>
    </row>
    <row r="14" spans="1:7" ht="17.399999999999999">
      <c r="A14" s="3" t="s">
        <v>23</v>
      </c>
      <c r="B14" s="3"/>
      <c r="C14" s="4"/>
      <c r="D14" s="4"/>
      <c r="E14" s="4"/>
      <c r="F14" s="4"/>
      <c r="G14" s="4">
        <f t="shared" si="0"/>
        <v>0</v>
      </c>
    </row>
    <row r="15" spans="1:7" ht="17.399999999999999">
      <c r="A15" s="3" t="s">
        <v>24</v>
      </c>
      <c r="B15" s="3"/>
      <c r="C15" s="4"/>
      <c r="D15" s="4"/>
      <c r="E15" s="4"/>
      <c r="F15" s="4"/>
      <c r="G15" s="4">
        <f t="shared" si="0"/>
        <v>0</v>
      </c>
    </row>
    <row r="16" spans="1:7" ht="31.2">
      <c r="A16" s="3" t="s">
        <v>25</v>
      </c>
      <c r="B16" s="5" t="s">
        <v>26</v>
      </c>
      <c r="C16" s="4"/>
      <c r="D16" s="4"/>
      <c r="E16" s="4"/>
      <c r="F16" s="4"/>
      <c r="G16" s="4">
        <f t="shared" si="0"/>
        <v>0</v>
      </c>
    </row>
    <row r="17" spans="1:7" ht="31.2">
      <c r="A17" s="3" t="s">
        <v>27</v>
      </c>
      <c r="B17" s="5" t="s">
        <v>26</v>
      </c>
      <c r="C17" s="4"/>
      <c r="D17" s="4"/>
      <c r="E17" s="4"/>
      <c r="F17" s="4"/>
      <c r="G17" s="4">
        <f t="shared" si="0"/>
        <v>0</v>
      </c>
    </row>
    <row r="18" spans="1:7" ht="17.399999999999999">
      <c r="A18" s="6" t="s">
        <v>6</v>
      </c>
      <c r="B18" s="6"/>
      <c r="C18" s="7">
        <f>SUM(C2:C17)</f>
        <v>54</v>
      </c>
      <c r="D18" s="7">
        <f>SUM(D2:D17)</f>
        <v>28</v>
      </c>
      <c r="E18" s="7">
        <f>SUM(E2:E17)</f>
        <v>6</v>
      </c>
      <c r="F18" s="7">
        <f>SUM(F2:F17)</f>
        <v>8</v>
      </c>
      <c r="G18" s="7">
        <f t="shared" si="0"/>
        <v>96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zoomScaleNormal="100" workbookViewId="0">
      <selection activeCell="D23" sqref="D23"/>
    </sheetView>
  </sheetViews>
  <sheetFormatPr defaultColWidth="8.6640625" defaultRowHeight="14.4"/>
  <cols>
    <col min="1" max="1" width="38" customWidth="1"/>
    <col min="2" max="2" width="18" customWidth="1"/>
    <col min="3" max="17" width="9" customWidth="1"/>
    <col min="18" max="18" width="10" customWidth="1"/>
  </cols>
  <sheetData>
    <row r="1" spans="1:18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42</v>
      </c>
      <c r="R1" s="1" t="s">
        <v>6</v>
      </c>
    </row>
    <row r="2" spans="1:18" ht="17.399999999999999">
      <c r="A2" s="3" t="s">
        <v>7</v>
      </c>
      <c r="B2" s="3" t="s">
        <v>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>
        <f t="shared" ref="R2:R18" si="0">SUM(C2:Q2)</f>
        <v>0</v>
      </c>
    </row>
    <row r="3" spans="1:18" ht="17.399999999999999">
      <c r="A3" s="3" t="s">
        <v>9</v>
      </c>
      <c r="B3" s="3" t="s">
        <v>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>
        <f t="shared" si="0"/>
        <v>0</v>
      </c>
    </row>
    <row r="4" spans="1:18" ht="17.399999999999999">
      <c r="A4" s="3" t="s">
        <v>10</v>
      </c>
      <c r="B4" s="3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>
        <f t="shared" si="0"/>
        <v>0</v>
      </c>
    </row>
    <row r="5" spans="1:18" ht="17.399999999999999">
      <c r="A5" s="3" t="s">
        <v>12</v>
      </c>
      <c r="B5" s="3" t="s">
        <v>11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>
        <f t="shared" si="0"/>
        <v>0</v>
      </c>
    </row>
    <row r="6" spans="1:18" ht="17.399999999999999">
      <c r="A6" s="3" t="s">
        <v>13</v>
      </c>
      <c r="B6" s="5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>
        <f t="shared" si="0"/>
        <v>0</v>
      </c>
    </row>
    <row r="7" spans="1:18" ht="17.399999999999999">
      <c r="A7" s="3" t="s">
        <v>15</v>
      </c>
      <c r="B7" s="5" t="s">
        <v>16</v>
      </c>
      <c r="C7" s="4">
        <v>6</v>
      </c>
      <c r="D7" s="4">
        <v>10</v>
      </c>
      <c r="E7" s="4">
        <v>2</v>
      </c>
      <c r="F7" s="4">
        <v>5</v>
      </c>
      <c r="G7" s="4">
        <v>2</v>
      </c>
      <c r="H7" s="4">
        <v>10</v>
      </c>
      <c r="I7" s="4"/>
      <c r="J7" s="4"/>
      <c r="K7" s="4"/>
      <c r="L7" s="4"/>
      <c r="M7" s="4"/>
      <c r="N7" s="4"/>
      <c r="O7" s="4"/>
      <c r="P7" s="4"/>
      <c r="Q7" s="4"/>
      <c r="R7" s="4">
        <f t="shared" si="0"/>
        <v>35</v>
      </c>
    </row>
    <row r="8" spans="1:18" ht="17.399999999999999">
      <c r="A8" s="3" t="s">
        <v>17</v>
      </c>
      <c r="B8" s="5" t="s">
        <v>16</v>
      </c>
      <c r="C8" s="4">
        <v>6</v>
      </c>
      <c r="D8" s="4">
        <v>10</v>
      </c>
      <c r="E8" s="4">
        <v>2</v>
      </c>
      <c r="F8" s="4">
        <v>5</v>
      </c>
      <c r="G8" s="4">
        <v>2</v>
      </c>
      <c r="H8" s="4">
        <v>10</v>
      </c>
      <c r="I8" s="4"/>
      <c r="J8" s="4"/>
      <c r="K8" s="4"/>
      <c r="L8" s="4"/>
      <c r="M8" s="4"/>
      <c r="N8" s="4"/>
      <c r="O8" s="4"/>
      <c r="P8" s="4"/>
      <c r="Q8" s="4"/>
      <c r="R8" s="4">
        <f t="shared" si="0"/>
        <v>35</v>
      </c>
    </row>
    <row r="9" spans="1:18" ht="17.399999999999999">
      <c r="A9" s="3" t="s">
        <v>18</v>
      </c>
      <c r="B9" s="5" t="s">
        <v>16</v>
      </c>
      <c r="C9" s="4"/>
      <c r="D9" s="4"/>
      <c r="E9" s="4"/>
      <c r="F9" s="4"/>
      <c r="G9" s="4"/>
      <c r="H9" s="4"/>
      <c r="I9" s="4">
        <v>6</v>
      </c>
      <c r="J9" s="4">
        <v>10</v>
      </c>
      <c r="K9" s="4">
        <v>2</v>
      </c>
      <c r="L9" s="4">
        <v>5</v>
      </c>
      <c r="M9" s="4">
        <v>2</v>
      </c>
      <c r="N9" s="4">
        <v>10</v>
      </c>
      <c r="O9" s="4"/>
      <c r="P9" s="4"/>
      <c r="Q9" s="4"/>
      <c r="R9" s="4">
        <f t="shared" si="0"/>
        <v>35</v>
      </c>
    </row>
    <row r="10" spans="1:18" ht="17.399999999999999">
      <c r="A10" s="3" t="s">
        <v>19</v>
      </c>
      <c r="B10" s="3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>
        <f t="shared" si="0"/>
        <v>0</v>
      </c>
    </row>
    <row r="11" spans="1:18" ht="17.399999999999999">
      <c r="A11" s="3" t="s">
        <v>20</v>
      </c>
      <c r="B11" s="3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>
        <f t="shared" si="0"/>
        <v>0</v>
      </c>
    </row>
    <row r="12" spans="1:18" ht="17.399999999999999">
      <c r="A12" s="3" t="s">
        <v>21</v>
      </c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f t="shared" si="0"/>
        <v>0</v>
      </c>
    </row>
    <row r="13" spans="1:18" ht="17.399999999999999">
      <c r="A13" s="3" t="s">
        <v>22</v>
      </c>
      <c r="B13" s="3"/>
      <c r="C13" s="4">
        <v>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>
        <f t="shared" si="0"/>
        <v>2</v>
      </c>
    </row>
    <row r="14" spans="1:18" ht="17.399999999999999">
      <c r="A14" s="3" t="s">
        <v>23</v>
      </c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>
        <f t="shared" si="0"/>
        <v>0</v>
      </c>
    </row>
    <row r="15" spans="1:18" ht="17.399999999999999">
      <c r="A15" s="3" t="s">
        <v>24</v>
      </c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14</v>
      </c>
      <c r="P15" s="4">
        <v>18</v>
      </c>
      <c r="Q15" s="4">
        <v>12</v>
      </c>
      <c r="R15" s="4">
        <f t="shared" si="0"/>
        <v>44</v>
      </c>
    </row>
    <row r="16" spans="1:18" ht="31.2">
      <c r="A16" s="3" t="s">
        <v>25</v>
      </c>
      <c r="B16" s="5" t="s">
        <v>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v>6</v>
      </c>
      <c r="Q16" s="4"/>
      <c r="R16" s="4">
        <f t="shared" si="0"/>
        <v>6</v>
      </c>
    </row>
    <row r="17" spans="1:18" ht="31.2">
      <c r="A17" s="3" t="s">
        <v>27</v>
      </c>
      <c r="B17" s="5" t="s">
        <v>26</v>
      </c>
      <c r="C17" s="4">
        <v>2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v>12</v>
      </c>
      <c r="Q17" s="4"/>
      <c r="R17" s="4">
        <f t="shared" si="0"/>
        <v>14</v>
      </c>
    </row>
    <row r="18" spans="1:18" ht="17.399999999999999">
      <c r="A18" s="6" t="s">
        <v>6</v>
      </c>
      <c r="B18" s="6"/>
      <c r="C18" s="7">
        <f t="shared" ref="C18:Q18" si="1">SUM(C2:C17)</f>
        <v>16</v>
      </c>
      <c r="D18" s="7">
        <f t="shared" si="1"/>
        <v>20</v>
      </c>
      <c r="E18" s="7">
        <f t="shared" si="1"/>
        <v>4</v>
      </c>
      <c r="F18" s="7">
        <f t="shared" si="1"/>
        <v>10</v>
      </c>
      <c r="G18" s="7">
        <f t="shared" si="1"/>
        <v>4</v>
      </c>
      <c r="H18" s="7">
        <f t="shared" si="1"/>
        <v>20</v>
      </c>
      <c r="I18" s="7">
        <f t="shared" si="1"/>
        <v>6</v>
      </c>
      <c r="J18" s="7">
        <f t="shared" si="1"/>
        <v>10</v>
      </c>
      <c r="K18" s="7">
        <f t="shared" si="1"/>
        <v>2</v>
      </c>
      <c r="L18" s="7">
        <f t="shared" si="1"/>
        <v>5</v>
      </c>
      <c r="M18" s="7">
        <f t="shared" si="1"/>
        <v>2</v>
      </c>
      <c r="N18" s="7">
        <f t="shared" si="1"/>
        <v>10</v>
      </c>
      <c r="O18" s="7">
        <f t="shared" si="1"/>
        <v>14</v>
      </c>
      <c r="P18" s="7">
        <f t="shared" si="1"/>
        <v>36</v>
      </c>
      <c r="Q18" s="7">
        <f t="shared" si="1"/>
        <v>12</v>
      </c>
      <c r="R18" s="7">
        <f t="shared" si="0"/>
        <v>171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Normal="100" workbookViewId="0">
      <selection activeCell="C14" sqref="C14"/>
    </sheetView>
  </sheetViews>
  <sheetFormatPr defaultColWidth="8.6640625" defaultRowHeight="14.4"/>
  <cols>
    <col min="1" max="1" width="38" customWidth="1"/>
    <col min="2" max="2" width="18" customWidth="1"/>
    <col min="3" max="7" width="9" customWidth="1"/>
    <col min="8" max="8" width="10" customWidth="1"/>
  </cols>
  <sheetData>
    <row r="1" spans="1:8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1" t="s">
        <v>6</v>
      </c>
    </row>
    <row r="2" spans="1:8" ht="34.799999999999997">
      <c r="A2" s="5" t="s">
        <v>44</v>
      </c>
      <c r="B2" s="3"/>
      <c r="C2" s="4"/>
      <c r="D2" s="4"/>
      <c r="E2" s="4"/>
      <c r="F2" s="4"/>
      <c r="G2" s="4"/>
      <c r="H2" s="4">
        <f t="shared" ref="H2:H7" si="0">SUM(C2:G2)</f>
        <v>0</v>
      </c>
    </row>
    <row r="3" spans="1:8" ht="17.399999999999999">
      <c r="A3" s="5" t="s">
        <v>45</v>
      </c>
      <c r="B3" s="5" t="s">
        <v>46</v>
      </c>
      <c r="C3" s="4"/>
      <c r="D3" s="4"/>
      <c r="E3" s="4"/>
      <c r="F3" s="4"/>
      <c r="G3" s="4"/>
      <c r="H3" s="4">
        <f t="shared" si="0"/>
        <v>0</v>
      </c>
    </row>
    <row r="4" spans="1:8" ht="17.399999999999999">
      <c r="A4" s="5" t="s">
        <v>47</v>
      </c>
      <c r="B4" s="5" t="s">
        <v>48</v>
      </c>
      <c r="C4" s="4"/>
      <c r="D4" s="4"/>
      <c r="E4" s="4"/>
      <c r="F4" s="4"/>
      <c r="G4" s="4"/>
      <c r="H4" s="4">
        <f t="shared" si="0"/>
        <v>0</v>
      </c>
    </row>
    <row r="5" spans="1:8" ht="17.399999999999999">
      <c r="A5" s="8" t="s">
        <v>91</v>
      </c>
      <c r="B5" s="5" t="s">
        <v>49</v>
      </c>
      <c r="C5" s="4"/>
      <c r="D5" s="4"/>
      <c r="E5" s="4"/>
      <c r="F5" s="9">
        <v>10</v>
      </c>
      <c r="G5" s="9">
        <v>4</v>
      </c>
      <c r="H5" s="9">
        <f t="shared" si="0"/>
        <v>14</v>
      </c>
    </row>
    <row r="6" spans="1:8" ht="17.399999999999999">
      <c r="A6" s="8" t="s">
        <v>92</v>
      </c>
      <c r="B6" s="5"/>
      <c r="C6" s="4"/>
      <c r="D6" s="4"/>
      <c r="E6" s="4"/>
      <c r="F6" s="4"/>
      <c r="G6" s="4"/>
      <c r="H6" s="4">
        <f t="shared" si="0"/>
        <v>0</v>
      </c>
    </row>
    <row r="7" spans="1:8" ht="17.399999999999999">
      <c r="A7" s="6" t="s">
        <v>6</v>
      </c>
      <c r="B7" s="6"/>
      <c r="C7" s="7">
        <f>SUM(C2:C6)</f>
        <v>0</v>
      </c>
      <c r="D7" s="7">
        <f>SUM(D2:D6)</f>
        <v>0</v>
      </c>
      <c r="E7" s="7">
        <f>SUM(E2:E6)</f>
        <v>0</v>
      </c>
      <c r="F7" s="7">
        <f>SUM(F2:F6)</f>
        <v>10</v>
      </c>
      <c r="G7" s="7">
        <f>SUM(G2:G6)</f>
        <v>4</v>
      </c>
      <c r="H7" s="7">
        <f t="shared" si="0"/>
        <v>14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zoomScaleNormal="100" workbookViewId="0">
      <selection activeCell="C18" sqref="C18"/>
    </sheetView>
  </sheetViews>
  <sheetFormatPr defaultColWidth="8.6640625" defaultRowHeight="14.4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31</v>
      </c>
      <c r="F1" s="2" t="s">
        <v>32</v>
      </c>
      <c r="G1" s="1" t="s">
        <v>6</v>
      </c>
    </row>
    <row r="2" spans="1:7" ht="34.799999999999997">
      <c r="A2" s="8" t="s">
        <v>93</v>
      </c>
      <c r="B2" s="3"/>
      <c r="C2" s="4"/>
      <c r="D2" s="4"/>
      <c r="E2" s="4"/>
      <c r="F2" s="4"/>
      <c r="G2" s="4">
        <f t="shared" ref="G2:G7" si="0">SUM(C2:F2)</f>
        <v>0</v>
      </c>
    </row>
    <row r="3" spans="1:7" ht="17.399999999999999">
      <c r="A3" s="5" t="s">
        <v>45</v>
      </c>
      <c r="B3" s="5" t="s">
        <v>46</v>
      </c>
      <c r="C3" s="4"/>
      <c r="D3" s="4"/>
      <c r="E3" s="4"/>
      <c r="F3" s="4"/>
      <c r="G3" s="4">
        <f t="shared" si="0"/>
        <v>0</v>
      </c>
    </row>
    <row r="4" spans="1:7" ht="17.399999999999999">
      <c r="A4" s="5" t="s">
        <v>47</v>
      </c>
      <c r="B4" s="5" t="s">
        <v>48</v>
      </c>
      <c r="C4" s="4"/>
      <c r="D4" s="4"/>
      <c r="E4" s="4"/>
      <c r="F4" s="4"/>
      <c r="G4" s="4">
        <f t="shared" si="0"/>
        <v>0</v>
      </c>
    </row>
    <row r="5" spans="1:7" ht="17.399999999999999">
      <c r="A5" s="8" t="s">
        <v>91</v>
      </c>
      <c r="B5" s="5" t="s">
        <v>49</v>
      </c>
      <c r="C5" s="4"/>
      <c r="D5" s="4"/>
      <c r="E5" s="4"/>
      <c r="F5" s="4"/>
      <c r="G5" s="4">
        <f t="shared" si="0"/>
        <v>0</v>
      </c>
    </row>
    <row r="6" spans="1:7" ht="17.399999999999999">
      <c r="A6" s="8" t="s">
        <v>92</v>
      </c>
      <c r="B6" s="5" t="s">
        <v>49</v>
      </c>
      <c r="C6" s="4">
        <v>8</v>
      </c>
      <c r="D6" s="4">
        <v>10</v>
      </c>
      <c r="E6" s="4">
        <v>8</v>
      </c>
      <c r="F6" s="4">
        <v>4</v>
      </c>
      <c r="G6" s="4">
        <f t="shared" si="0"/>
        <v>30</v>
      </c>
    </row>
    <row r="7" spans="1:7" ht="17.399999999999999">
      <c r="A7" s="6" t="s">
        <v>6</v>
      </c>
      <c r="B7" s="6"/>
      <c r="C7" s="7">
        <f>SUM(C2:C6)</f>
        <v>8</v>
      </c>
      <c r="D7" s="7">
        <f>SUM(D2:D6)</f>
        <v>10</v>
      </c>
      <c r="E7" s="7">
        <f>SUM(E2:E6)</f>
        <v>8</v>
      </c>
      <c r="F7" s="7">
        <f>SUM(F2:F6)</f>
        <v>4</v>
      </c>
      <c r="G7" s="7">
        <f t="shared" si="0"/>
        <v>30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zoomScaleNormal="100" workbookViewId="0">
      <selection activeCell="C2" sqref="C2:G2"/>
    </sheetView>
  </sheetViews>
  <sheetFormatPr defaultColWidth="8.6640625" defaultRowHeight="14.4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50</v>
      </c>
      <c r="D1" s="2" t="s">
        <v>51</v>
      </c>
      <c r="E1" s="2" t="s">
        <v>52</v>
      </c>
      <c r="F1" s="2" t="s">
        <v>53</v>
      </c>
      <c r="G1" s="1" t="s">
        <v>6</v>
      </c>
    </row>
    <row r="2" spans="1:7" ht="17.399999999999999">
      <c r="A2" s="3" t="s">
        <v>54</v>
      </c>
      <c r="B2" s="5" t="s">
        <v>89</v>
      </c>
      <c r="C2" s="9">
        <v>8</v>
      </c>
      <c r="D2" s="9">
        <v>15</v>
      </c>
      <c r="E2" s="9">
        <v>8</v>
      </c>
      <c r="F2" s="9">
        <v>1</v>
      </c>
      <c r="G2" s="9">
        <f t="shared" ref="G2:G8" si="0">SUM(C2:F2)</f>
        <v>32</v>
      </c>
    </row>
    <row r="3" spans="1:7" ht="17.399999999999999">
      <c r="A3" s="3" t="s">
        <v>56</v>
      </c>
      <c r="B3" s="3" t="s">
        <v>90</v>
      </c>
      <c r="C3" s="4"/>
      <c r="D3" s="4"/>
      <c r="E3" s="4"/>
      <c r="F3" s="4"/>
      <c r="G3" s="4">
        <f t="shared" si="0"/>
        <v>0</v>
      </c>
    </row>
    <row r="4" spans="1:7" ht="17.399999999999999">
      <c r="A4" s="5" t="s">
        <v>57</v>
      </c>
      <c r="B4" s="5" t="s">
        <v>55</v>
      </c>
      <c r="C4" s="4"/>
      <c r="D4" s="4"/>
      <c r="E4" s="4"/>
      <c r="F4" s="4"/>
      <c r="G4" s="4">
        <f t="shared" si="0"/>
        <v>0</v>
      </c>
    </row>
    <row r="5" spans="1:7" ht="17.399999999999999">
      <c r="A5" s="5" t="s">
        <v>58</v>
      </c>
      <c r="B5" s="5" t="s">
        <v>55</v>
      </c>
      <c r="C5" s="4"/>
      <c r="D5" s="4"/>
      <c r="E5" s="4"/>
      <c r="F5" s="4"/>
      <c r="G5" s="4">
        <f t="shared" si="0"/>
        <v>0</v>
      </c>
    </row>
    <row r="6" spans="1:7" ht="17.399999999999999">
      <c r="A6" s="5" t="s">
        <v>59</v>
      </c>
      <c r="B6" s="3" t="s">
        <v>11</v>
      </c>
      <c r="C6" s="4"/>
      <c r="D6" s="4"/>
      <c r="E6" s="4"/>
      <c r="F6" s="4"/>
      <c r="G6" s="4">
        <f t="shared" si="0"/>
        <v>0</v>
      </c>
    </row>
    <row r="7" spans="1:7" ht="17.399999999999999">
      <c r="A7" s="5" t="s">
        <v>60</v>
      </c>
      <c r="B7" s="5" t="s">
        <v>61</v>
      </c>
      <c r="C7" s="4"/>
      <c r="D7" s="4"/>
      <c r="E7" s="4"/>
      <c r="F7" s="4"/>
      <c r="G7" s="4">
        <f t="shared" si="0"/>
        <v>0</v>
      </c>
    </row>
    <row r="8" spans="1:7" ht="17.399999999999999">
      <c r="A8" s="6" t="s">
        <v>6</v>
      </c>
      <c r="B8" s="6"/>
      <c r="C8" s="7">
        <f>SUM(C2:C7)</f>
        <v>8</v>
      </c>
      <c r="D8" s="7">
        <f>SUM(D2:D7)</f>
        <v>15</v>
      </c>
      <c r="E8" s="7">
        <f>SUM(E2:E7)</f>
        <v>8</v>
      </c>
      <c r="F8" s="7">
        <f>SUM(F2:F7)</f>
        <v>1</v>
      </c>
      <c r="G8" s="7">
        <f t="shared" si="0"/>
        <v>32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8"/>
  <sheetViews>
    <sheetView zoomScaleNormal="100" workbookViewId="0">
      <selection activeCell="L1" sqref="L1:L1048576"/>
    </sheetView>
  </sheetViews>
  <sheetFormatPr defaultColWidth="8.6640625" defaultRowHeight="14.4"/>
  <cols>
    <col min="1" max="1" width="38" customWidth="1"/>
    <col min="2" max="2" width="18" customWidth="1"/>
    <col min="3" max="19" width="9" customWidth="1"/>
    <col min="20" max="20" width="10" customWidth="1"/>
  </cols>
  <sheetData>
    <row r="1" spans="1:20" ht="21.75" customHeight="1">
      <c r="A1" s="1" t="s">
        <v>0</v>
      </c>
      <c r="B1" s="1" t="s">
        <v>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1" t="s">
        <v>6</v>
      </c>
    </row>
    <row r="2" spans="1:20" ht="17.399999999999999">
      <c r="A2" s="3" t="s">
        <v>54</v>
      </c>
      <c r="B2" s="5" t="s">
        <v>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f t="shared" ref="T2:T8" si="0">SUM(C2:S2)</f>
        <v>0</v>
      </c>
    </row>
    <row r="3" spans="1:20" ht="17.399999999999999">
      <c r="A3" s="3" t="s">
        <v>56</v>
      </c>
      <c r="B3" s="5" t="s">
        <v>55</v>
      </c>
      <c r="C3" s="4"/>
      <c r="D3" s="4">
        <v>13</v>
      </c>
      <c r="E3" s="4">
        <v>20</v>
      </c>
      <c r="F3" s="4">
        <v>12</v>
      </c>
      <c r="G3" s="4">
        <v>4</v>
      </c>
      <c r="H3" s="4">
        <v>6</v>
      </c>
      <c r="I3" s="4">
        <v>3</v>
      </c>
      <c r="J3" s="4">
        <v>8</v>
      </c>
      <c r="K3" s="4"/>
      <c r="L3" s="4">
        <v>35</v>
      </c>
      <c r="M3" s="4">
        <v>13</v>
      </c>
      <c r="N3" s="4">
        <v>1</v>
      </c>
      <c r="O3" s="4">
        <v>11</v>
      </c>
      <c r="P3" s="4"/>
      <c r="Q3" s="4"/>
      <c r="R3" s="4"/>
      <c r="S3" s="4"/>
      <c r="T3" s="4">
        <f t="shared" si="0"/>
        <v>126</v>
      </c>
    </row>
    <row r="4" spans="1:20" ht="17.399999999999999">
      <c r="A4" s="5" t="s">
        <v>57</v>
      </c>
      <c r="B4" s="5" t="s">
        <v>55</v>
      </c>
      <c r="C4" s="4">
        <v>18</v>
      </c>
      <c r="D4" s="4"/>
      <c r="E4" s="4">
        <v>5</v>
      </c>
      <c r="F4" s="4">
        <v>4</v>
      </c>
      <c r="G4" s="4"/>
      <c r="H4" s="4"/>
      <c r="I4" s="4">
        <v>2</v>
      </c>
      <c r="J4" s="4">
        <v>8</v>
      </c>
      <c r="K4" s="4">
        <v>17</v>
      </c>
      <c r="L4" s="4"/>
      <c r="M4" s="4"/>
      <c r="N4" s="4">
        <v>2</v>
      </c>
      <c r="O4" s="4"/>
      <c r="P4" s="4"/>
      <c r="Q4" s="4"/>
      <c r="R4" s="4"/>
      <c r="S4" s="4"/>
      <c r="T4" s="4">
        <f t="shared" si="0"/>
        <v>56</v>
      </c>
    </row>
    <row r="5" spans="1:20" ht="17.399999999999999">
      <c r="A5" s="5" t="s">
        <v>58</v>
      </c>
      <c r="B5" s="5" t="s">
        <v>55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v>22</v>
      </c>
      <c r="Q5" s="4">
        <v>6</v>
      </c>
      <c r="R5" s="4">
        <v>21</v>
      </c>
      <c r="S5" s="4">
        <v>10</v>
      </c>
      <c r="T5" s="4">
        <f t="shared" si="0"/>
        <v>59</v>
      </c>
    </row>
    <row r="6" spans="1:20" ht="17.399999999999999">
      <c r="A6" s="5" t="s">
        <v>59</v>
      </c>
      <c r="B6" s="3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>
        <f t="shared" si="0"/>
        <v>0</v>
      </c>
    </row>
    <row r="7" spans="1:20" ht="17.399999999999999">
      <c r="A7" s="5" t="s">
        <v>60</v>
      </c>
      <c r="B7" s="5" t="s">
        <v>61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>
        <f t="shared" si="0"/>
        <v>0</v>
      </c>
    </row>
    <row r="8" spans="1:20" ht="17.399999999999999">
      <c r="A8" s="6" t="s">
        <v>6</v>
      </c>
      <c r="B8" s="6"/>
      <c r="C8" s="7">
        <f t="shared" ref="C8:S8" si="1">SUM(C2:C7)</f>
        <v>18</v>
      </c>
      <c r="D8" s="7">
        <f t="shared" si="1"/>
        <v>13</v>
      </c>
      <c r="E8" s="7">
        <f t="shared" si="1"/>
        <v>25</v>
      </c>
      <c r="F8" s="7">
        <f t="shared" si="1"/>
        <v>16</v>
      </c>
      <c r="G8" s="7">
        <f t="shared" si="1"/>
        <v>4</v>
      </c>
      <c r="H8" s="7">
        <f t="shared" si="1"/>
        <v>6</v>
      </c>
      <c r="I8" s="7">
        <f t="shared" si="1"/>
        <v>5</v>
      </c>
      <c r="J8" s="7">
        <f t="shared" si="1"/>
        <v>16</v>
      </c>
      <c r="K8" s="7">
        <f t="shared" si="1"/>
        <v>17</v>
      </c>
      <c r="L8" s="7">
        <f t="shared" si="1"/>
        <v>35</v>
      </c>
      <c r="M8" s="7">
        <f t="shared" si="1"/>
        <v>13</v>
      </c>
      <c r="N8" s="7">
        <f t="shared" si="1"/>
        <v>3</v>
      </c>
      <c r="O8" s="7">
        <f t="shared" si="1"/>
        <v>11</v>
      </c>
      <c r="P8" s="7">
        <f t="shared" si="1"/>
        <v>22</v>
      </c>
      <c r="Q8" s="7">
        <f t="shared" si="1"/>
        <v>6</v>
      </c>
      <c r="R8" s="7">
        <f t="shared" si="1"/>
        <v>21</v>
      </c>
      <c r="S8" s="7">
        <f t="shared" si="1"/>
        <v>10</v>
      </c>
      <c r="T8" s="7">
        <f t="shared" si="0"/>
        <v>241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"/>
  <sheetViews>
    <sheetView zoomScaleNormal="100" workbookViewId="0">
      <selection activeCell="F2" sqref="F2:H2"/>
    </sheetView>
  </sheetViews>
  <sheetFormatPr defaultColWidth="8.6640625" defaultRowHeight="14.4"/>
  <cols>
    <col min="1" max="1" width="38" customWidth="1"/>
    <col min="2" max="2" width="18" customWidth="1"/>
    <col min="3" max="7" width="9" customWidth="1"/>
    <col min="8" max="8" width="10" customWidth="1"/>
  </cols>
  <sheetData>
    <row r="1" spans="1:8" ht="21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1" t="s">
        <v>6</v>
      </c>
    </row>
    <row r="2" spans="1:8" ht="17.399999999999999">
      <c r="A2" s="3" t="s">
        <v>80</v>
      </c>
      <c r="B2" s="5" t="s">
        <v>49</v>
      </c>
      <c r="C2" s="4"/>
      <c r="D2" s="4"/>
      <c r="E2" s="4"/>
      <c r="F2" s="9">
        <v>14</v>
      </c>
      <c r="G2" s="9">
        <v>4</v>
      </c>
      <c r="H2" s="9">
        <f>SUM(C2:G2)</f>
        <v>18</v>
      </c>
    </row>
    <row r="3" spans="1:8" ht="17.399999999999999">
      <c r="A3" s="5" t="s">
        <v>58</v>
      </c>
      <c r="B3" s="5" t="s">
        <v>55</v>
      </c>
      <c r="C3" s="4"/>
      <c r="D3" s="4"/>
      <c r="E3" s="4"/>
      <c r="F3" s="4">
        <v>0</v>
      </c>
      <c r="G3" s="4">
        <v>0</v>
      </c>
      <c r="H3" s="4">
        <f>SUM(C3:G3)</f>
        <v>0</v>
      </c>
    </row>
    <row r="4" spans="1:8" ht="17.399999999999999">
      <c r="A4" s="6" t="s">
        <v>6</v>
      </c>
      <c r="B4" s="6"/>
      <c r="C4" s="7">
        <f>SUM(C2:C3)</f>
        <v>0</v>
      </c>
      <c r="D4" s="7">
        <f>SUM(D2:D3)</f>
        <v>0</v>
      </c>
      <c r="E4" s="7">
        <f>SUM(E2:E3)</f>
        <v>0</v>
      </c>
      <c r="F4" s="7">
        <f>SUM(F2:F3)</f>
        <v>14</v>
      </c>
      <c r="G4" s="7">
        <f>SUM(G2:G3)</f>
        <v>4</v>
      </c>
      <c r="H4" s="7">
        <f>SUM(C4:G4)</f>
        <v>18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zoomScaleNormal="100" workbookViewId="0"/>
  </sheetViews>
  <sheetFormatPr defaultColWidth="8.6640625" defaultRowHeight="14.4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28</v>
      </c>
      <c r="D1" s="2" t="s">
        <v>29</v>
      </c>
      <c r="E1" s="2" t="s">
        <v>31</v>
      </c>
      <c r="F1" s="2" t="s">
        <v>32</v>
      </c>
      <c r="G1" s="1" t="s">
        <v>6</v>
      </c>
    </row>
    <row r="2" spans="1:7" ht="17.399999999999999">
      <c r="A2" s="3" t="s">
        <v>80</v>
      </c>
      <c r="B2" s="5" t="s">
        <v>49</v>
      </c>
      <c r="C2" s="4"/>
      <c r="D2" s="4"/>
      <c r="E2" s="4"/>
      <c r="F2" s="4"/>
      <c r="G2" s="4">
        <f>SUM(C2:F2)</f>
        <v>0</v>
      </c>
    </row>
    <row r="3" spans="1:7" ht="17.399999999999999">
      <c r="A3" s="5" t="s">
        <v>58</v>
      </c>
      <c r="B3" s="5" t="s">
        <v>55</v>
      </c>
      <c r="C3" s="4">
        <v>14</v>
      </c>
      <c r="D3" s="4"/>
      <c r="E3" s="4">
        <v>36</v>
      </c>
      <c r="F3" s="4"/>
      <c r="G3" s="4">
        <f>SUM(C3:F3)</f>
        <v>50</v>
      </c>
    </row>
    <row r="4" spans="1:7" ht="17.399999999999999">
      <c r="A4" s="6" t="s">
        <v>6</v>
      </c>
      <c r="B4" s="6"/>
      <c r="C4" s="7">
        <f>SUM(C2:C3)</f>
        <v>14</v>
      </c>
      <c r="D4" s="7">
        <f>SUM(D2:D3)</f>
        <v>0</v>
      </c>
      <c r="E4" s="7">
        <f>SUM(E2:E3)</f>
        <v>36</v>
      </c>
      <c r="F4" s="7">
        <f>SUM(F2:F3)</f>
        <v>0</v>
      </c>
      <c r="G4" s="7">
        <f>SUM(C4:F4)</f>
        <v>50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tabSelected="1" zoomScaleNormal="100" workbookViewId="0">
      <selection activeCell="A14" sqref="A14"/>
    </sheetView>
  </sheetViews>
  <sheetFormatPr defaultColWidth="8.6640625" defaultRowHeight="14.4"/>
  <cols>
    <col min="1" max="1" width="38" customWidth="1"/>
    <col min="2" max="2" width="18" customWidth="1"/>
    <col min="3" max="6" width="9" customWidth="1"/>
    <col min="7" max="7" width="10" customWidth="1"/>
  </cols>
  <sheetData>
    <row r="1" spans="1:7" ht="21.75" customHeight="1">
      <c r="A1" s="1" t="s">
        <v>0</v>
      </c>
      <c r="B1" s="1" t="s">
        <v>1</v>
      </c>
      <c r="C1" s="2" t="s">
        <v>50</v>
      </c>
      <c r="D1" s="2" t="s">
        <v>51</v>
      </c>
      <c r="E1" s="2" t="s">
        <v>52</v>
      </c>
      <c r="F1" s="2" t="s">
        <v>53</v>
      </c>
      <c r="G1" s="1" t="s">
        <v>6</v>
      </c>
    </row>
    <row r="2" spans="1:7" ht="17.399999999999999">
      <c r="A2" s="5" t="s">
        <v>81</v>
      </c>
      <c r="B2" s="3" t="s">
        <v>11</v>
      </c>
      <c r="C2" s="4"/>
      <c r="D2" s="4"/>
      <c r="E2" s="4"/>
      <c r="F2" s="4"/>
      <c r="G2" s="4">
        <f t="shared" ref="G2:G9" si="0">SUM(C2:F2)</f>
        <v>0</v>
      </c>
    </row>
    <row r="3" spans="1:7" ht="17.399999999999999">
      <c r="A3" s="5" t="s">
        <v>82</v>
      </c>
      <c r="B3" s="5" t="s">
        <v>49</v>
      </c>
      <c r="C3" s="4"/>
      <c r="D3" s="4"/>
      <c r="E3" s="4"/>
      <c r="F3" s="4"/>
      <c r="G3" s="4">
        <f t="shared" si="0"/>
        <v>0</v>
      </c>
    </row>
    <row r="4" spans="1:7" ht="17.399999999999999">
      <c r="A4" s="5" t="s">
        <v>83</v>
      </c>
      <c r="B4" s="5" t="s">
        <v>55</v>
      </c>
      <c r="C4" s="4"/>
      <c r="D4" s="4"/>
      <c r="E4" s="4"/>
      <c r="F4" s="4"/>
      <c r="G4" s="4">
        <f t="shared" si="0"/>
        <v>0</v>
      </c>
    </row>
    <row r="5" spans="1:7" ht="17.399999999999999">
      <c r="A5" s="5" t="s">
        <v>84</v>
      </c>
      <c r="B5" s="5" t="s">
        <v>55</v>
      </c>
      <c r="C5" s="4"/>
      <c r="D5" s="4"/>
      <c r="E5" s="4"/>
      <c r="F5" s="4"/>
      <c r="G5" s="4">
        <f t="shared" si="0"/>
        <v>0</v>
      </c>
    </row>
    <row r="6" spans="1:7" ht="17.399999999999999">
      <c r="A6" s="3" t="s">
        <v>56</v>
      </c>
      <c r="B6" s="5" t="s">
        <v>55</v>
      </c>
      <c r="C6" s="4"/>
      <c r="D6" s="4"/>
      <c r="E6" s="4"/>
      <c r="F6" s="4"/>
      <c r="G6" s="4">
        <f t="shared" si="0"/>
        <v>0</v>
      </c>
    </row>
    <row r="7" spans="1:7" ht="17.399999999999999">
      <c r="A7" s="3" t="s">
        <v>54</v>
      </c>
      <c r="B7" s="5" t="s">
        <v>49</v>
      </c>
      <c r="C7" s="9">
        <v>2</v>
      </c>
      <c r="D7" s="9">
        <v>4</v>
      </c>
      <c r="E7" s="9">
        <v>8</v>
      </c>
      <c r="F7" s="9">
        <v>6</v>
      </c>
      <c r="G7" s="9">
        <f t="shared" si="0"/>
        <v>20</v>
      </c>
    </row>
    <row r="8" spans="1:7" ht="17.399999999999999">
      <c r="A8" s="3" t="s">
        <v>85</v>
      </c>
      <c r="B8" s="5" t="s">
        <v>86</v>
      </c>
      <c r="C8" s="4"/>
      <c r="D8" s="4"/>
      <c r="E8" s="4"/>
      <c r="F8" s="4"/>
      <c r="G8" s="4">
        <f t="shared" si="0"/>
        <v>0</v>
      </c>
    </row>
    <row r="9" spans="1:7" ht="17.399999999999999">
      <c r="A9" s="6" t="s">
        <v>6</v>
      </c>
      <c r="B9" s="6"/>
      <c r="C9" s="7">
        <f>SUM(C2:C8)</f>
        <v>2</v>
      </c>
      <c r="D9" s="7">
        <f>SUM(D2:D8)</f>
        <v>4</v>
      </c>
      <c r="E9" s="7">
        <f>SUM(E2:E8)</f>
        <v>8</v>
      </c>
      <c r="F9" s="7">
        <f>SUM(F2:F8)</f>
        <v>6</v>
      </c>
      <c r="G9" s="7">
        <f t="shared" si="0"/>
        <v>20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"/>
  <sheetViews>
    <sheetView zoomScaleNormal="100" workbookViewId="0">
      <selection activeCell="E22" sqref="E22"/>
    </sheetView>
  </sheetViews>
  <sheetFormatPr defaultColWidth="8.6640625" defaultRowHeight="14.4"/>
  <cols>
    <col min="1" max="1" width="38" customWidth="1"/>
    <col min="2" max="2" width="18" customWidth="1"/>
    <col min="3" max="14" width="9" customWidth="1"/>
    <col min="15" max="15" width="10" customWidth="1"/>
  </cols>
  <sheetData>
    <row r="1" spans="1:15" ht="21.75" customHeight="1">
      <c r="A1" s="1" t="s">
        <v>0</v>
      </c>
      <c r="B1" s="1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2" t="s">
        <v>70</v>
      </c>
      <c r="I1" s="2" t="s">
        <v>87</v>
      </c>
      <c r="J1" s="2" t="s">
        <v>71</v>
      </c>
      <c r="K1" s="2" t="s">
        <v>75</v>
      </c>
      <c r="L1" s="2" t="s">
        <v>77</v>
      </c>
      <c r="M1" s="2" t="s">
        <v>79</v>
      </c>
      <c r="N1" s="2" t="s">
        <v>88</v>
      </c>
      <c r="O1" s="1" t="s">
        <v>6</v>
      </c>
    </row>
    <row r="2" spans="1:15" ht="17.399999999999999">
      <c r="A2" s="5" t="s">
        <v>81</v>
      </c>
      <c r="B2" s="3" t="s">
        <v>11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>
        <f t="shared" ref="O2:O9" si="0">SUM(C2:N2)</f>
        <v>0</v>
      </c>
    </row>
    <row r="3" spans="1:15" ht="17.399999999999999">
      <c r="A3" s="5" t="s">
        <v>82</v>
      </c>
      <c r="B3" s="5" t="s">
        <v>49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>
        <f t="shared" si="0"/>
        <v>0</v>
      </c>
    </row>
    <row r="4" spans="1:15" ht="17.399999999999999">
      <c r="A4" s="5" t="s">
        <v>83</v>
      </c>
      <c r="B4" s="5" t="s">
        <v>55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>
        <f t="shared" si="0"/>
        <v>0</v>
      </c>
    </row>
    <row r="5" spans="1:15" ht="17.399999999999999">
      <c r="A5" s="5" t="s">
        <v>84</v>
      </c>
      <c r="B5" s="5" t="s">
        <v>55</v>
      </c>
      <c r="C5" s="4"/>
      <c r="D5" s="4"/>
      <c r="E5" s="4"/>
      <c r="F5" s="4"/>
      <c r="G5" s="4"/>
      <c r="H5" s="4"/>
      <c r="I5" s="4"/>
      <c r="J5" s="4"/>
      <c r="K5" s="4">
        <v>10</v>
      </c>
      <c r="L5" s="4">
        <v>20</v>
      </c>
      <c r="M5" s="4">
        <v>25</v>
      </c>
      <c r="N5" s="4">
        <v>12</v>
      </c>
      <c r="O5" s="4">
        <f t="shared" si="0"/>
        <v>67</v>
      </c>
    </row>
    <row r="6" spans="1:15" ht="17.399999999999999">
      <c r="A6" s="3" t="s">
        <v>56</v>
      </c>
      <c r="B6" s="5" t="s">
        <v>55</v>
      </c>
      <c r="C6" s="4">
        <v>3</v>
      </c>
      <c r="D6" s="4">
        <v>1</v>
      </c>
      <c r="E6" s="4">
        <v>1</v>
      </c>
      <c r="F6" s="4">
        <v>1</v>
      </c>
      <c r="G6" s="4">
        <v>4</v>
      </c>
      <c r="H6" s="4">
        <v>8</v>
      </c>
      <c r="I6" s="4">
        <v>5</v>
      </c>
      <c r="J6" s="4">
        <v>4</v>
      </c>
      <c r="K6" s="4"/>
      <c r="L6" s="4"/>
      <c r="M6" s="4"/>
      <c r="N6" s="4"/>
      <c r="O6" s="4">
        <f t="shared" si="0"/>
        <v>27</v>
      </c>
    </row>
    <row r="7" spans="1:15" ht="17.399999999999999">
      <c r="A7" s="3" t="s">
        <v>54</v>
      </c>
      <c r="B7" s="5" t="s">
        <v>49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>
        <f t="shared" si="0"/>
        <v>0</v>
      </c>
    </row>
    <row r="8" spans="1:15" ht="17.399999999999999">
      <c r="A8" s="3" t="s">
        <v>85</v>
      </c>
      <c r="B8" s="5" t="s">
        <v>86</v>
      </c>
      <c r="C8" s="4">
        <v>1</v>
      </c>
      <c r="D8" s="4"/>
      <c r="E8" s="4"/>
      <c r="F8" s="4"/>
      <c r="G8" s="4"/>
      <c r="H8" s="4">
        <v>4</v>
      </c>
      <c r="I8" s="4"/>
      <c r="J8" s="4"/>
      <c r="K8" s="4">
        <v>5</v>
      </c>
      <c r="L8" s="4"/>
      <c r="M8" s="4"/>
      <c r="N8" s="4"/>
      <c r="O8" s="4">
        <f t="shared" si="0"/>
        <v>10</v>
      </c>
    </row>
    <row r="9" spans="1:15" ht="17.399999999999999">
      <c r="A9" s="6" t="s">
        <v>6</v>
      </c>
      <c r="B9" s="6"/>
      <c r="C9" s="7">
        <f t="shared" ref="C9:N9" si="1">SUM(C2:C8)</f>
        <v>4</v>
      </c>
      <c r="D9" s="7">
        <f t="shared" si="1"/>
        <v>1</v>
      </c>
      <c r="E9" s="7">
        <f t="shared" si="1"/>
        <v>1</v>
      </c>
      <c r="F9" s="7">
        <f t="shared" si="1"/>
        <v>1</v>
      </c>
      <c r="G9" s="7">
        <f t="shared" si="1"/>
        <v>4</v>
      </c>
      <c r="H9" s="7">
        <f t="shared" si="1"/>
        <v>12</v>
      </c>
      <c r="I9" s="7">
        <f t="shared" si="1"/>
        <v>5</v>
      </c>
      <c r="J9" s="7">
        <f t="shared" si="1"/>
        <v>4</v>
      </c>
      <c r="K9" s="7">
        <f t="shared" si="1"/>
        <v>15</v>
      </c>
      <c r="L9" s="7">
        <f t="shared" si="1"/>
        <v>20</v>
      </c>
      <c r="M9" s="7">
        <f t="shared" si="1"/>
        <v>25</v>
      </c>
      <c r="N9" s="7">
        <f t="shared" si="1"/>
        <v>12</v>
      </c>
      <c r="O9" s="7">
        <f t="shared" si="0"/>
        <v>104</v>
      </c>
    </row>
  </sheetData>
  <phoneticPr fontId="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도면1-기둥</vt:lpstr>
      <vt:lpstr>도면1-보</vt:lpstr>
      <vt:lpstr>도면2-기둥</vt:lpstr>
      <vt:lpstr>도면2-보</vt:lpstr>
      <vt:lpstr>도면3-기둥</vt:lpstr>
      <vt:lpstr>도면3-보</vt:lpstr>
      <vt:lpstr>도면4-기둥</vt:lpstr>
      <vt:lpstr>도면4-보</vt:lpstr>
      <vt:lpstr>도면5-기둥</vt:lpstr>
      <vt:lpstr>도면5-보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GoodDay1</cp:lastModifiedBy>
  <cp:revision>0</cp:revision>
  <dcterms:created xsi:type="dcterms:W3CDTF">2026-05-21T03:42:58Z</dcterms:created>
  <dcterms:modified xsi:type="dcterms:W3CDTF">2026-06-04T02:42:36Z</dcterms:modified>
  <dc:language>en-US</dc:language>
</cp:coreProperties>
</file>