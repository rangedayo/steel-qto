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5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도면1-기둥-길이" sheetId="2" state="visible" r:id="rId2"/>
    <sheet xmlns:r="http://schemas.openxmlformats.org/officeDocument/2006/relationships" name="도면1-보-길이" sheetId="3" state="visible" r:id="rId3"/>
    <sheet xmlns:r="http://schemas.openxmlformats.org/officeDocument/2006/relationships" name="도면2-기둥-길이" sheetId="4" state="visible" r:id="rId4"/>
    <sheet xmlns:r="http://schemas.openxmlformats.org/officeDocument/2006/relationships" name="도면2-보-길이" sheetId="5" state="visible" r:id="rId5"/>
    <sheet xmlns:r="http://schemas.openxmlformats.org/officeDocument/2006/relationships" name="도면3-기둥-길이" sheetId="6" state="visible" r:id="rId6"/>
    <sheet xmlns:r="http://schemas.openxmlformats.org/officeDocument/2006/relationships" name="도면3-보-길이" sheetId="7" state="visible" r:id="rId7"/>
    <sheet xmlns:r="http://schemas.openxmlformats.org/officeDocument/2006/relationships" name="도면4-기둥-길이" sheetId="8" state="visible" r:id="rId8"/>
    <sheet xmlns:r="http://schemas.openxmlformats.org/officeDocument/2006/relationships" name="도면4-보-길이" sheetId="9" state="visible" r:id="rId9"/>
    <sheet xmlns:r="http://schemas.openxmlformats.org/officeDocument/2006/relationships" name="도면5-기둥-길이" sheetId="10" state="visible" r:id="rId10"/>
    <sheet xmlns:r="http://schemas.openxmlformats.org/officeDocument/2006/relationships" name="도면5-보-길이" sheetId="11" state="visible" r:id="rId11"/>
    <sheet xmlns:r="http://schemas.openxmlformats.org/officeDocument/2006/relationships" name="강재단위중량" sheetId="12" state="visible" r:id="rId1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Noto Sans CJK SC"/>
      <family val="2"/>
      <b val="1"/>
      <sz val="14"/>
    </font>
    <font>
      <name val="Arial"/>
      <family val="2"/>
      <b val="1"/>
      <sz val="14"/>
    </font>
    <font>
      <name val="Arial"/>
      <family val="2"/>
      <sz val="10"/>
    </font>
    <font>
      <name val="Noto Sans CJK SC"/>
      <family val="2"/>
      <sz val="10"/>
    </font>
    <font>
      <name val="Noto Sans CJK SC"/>
      <family val="2"/>
      <b val="1"/>
      <sz val="11"/>
    </font>
    <font>
      <name val="Arial"/>
      <family val="2"/>
      <b val="1"/>
      <sz val="11"/>
    </font>
    <font>
      <name val="Noto Sans CJK SC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Noto Sans CJK SC"/>
      <family val="2"/>
      <b val="1"/>
      <sz val="10"/>
    </font>
    <font>
      <name val="Arial"/>
      <family val="2"/>
      <b val="1"/>
      <sz val="10"/>
    </font>
    <font>
      <name val="Arial"/>
      <family val="2"/>
      <i val="1"/>
      <color rgb="FF808080"/>
      <sz val="9"/>
    </font>
    <font>
      <name val="Noto Sans CJK SC"/>
      <family val="2"/>
      <i val="1"/>
      <color rgb="FF808080"/>
      <sz val="9"/>
    </font>
    <font>
      <name val="돋움"/>
      <charset val="129"/>
      <family val="3"/>
      <sz val="8"/>
    </font>
    <font>
      <name val="맑은 고딕"/>
      <charset val="129"/>
      <family val="3"/>
      <b val="1"/>
      <color rgb="FFFFFFFF"/>
      <sz val="10"/>
    </font>
    <font>
      <name val="Noto Sans CJK SC"/>
      <charset val="129"/>
      <family val="3"/>
      <b val="1"/>
      <color rgb="FFFFFFFF"/>
      <sz val="10"/>
    </font>
    <font>
      <name val="Noto Sans CJK SC"/>
      <charset val="1"/>
      <family val="2"/>
      <sz val="10"/>
    </font>
    <font>
      <name val="Arial"/>
      <charset val="1"/>
      <family val="2"/>
      <sz val="10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color rgb="FFFFFFFF"/>
      <sz val="10"/>
    </font>
    <font>
      <name val="Noto Sans CJK SC"/>
      <family val="2"/>
      <color theme="1"/>
      <sz val="11"/>
    </font>
    <font>
      <name val="Noto Sans CJK SC"/>
      <charset val="1"/>
      <sz val="10"/>
    </font>
    <font>
      <name val="Noto Sans CJK SC"/>
      <charset val="1"/>
      <b val="1"/>
      <sz val="10"/>
    </font>
    <font>
      <name val="Noto Sans CJK SC"/>
      <charset val="1"/>
      <b val="1"/>
      <color rgb="FFFFFFFF"/>
      <sz val="10"/>
    </font>
    <font>
      <name val="Noto Sans CJK SC"/>
      <charset val="1"/>
      <sz val="11"/>
    </font>
    <font>
      <name val="Noto Sans CJK SC"/>
      <family val="2"/>
      <sz val="11"/>
    </font>
    <font>
      <name val="Arial"/>
      <family val="2"/>
      <color theme="1"/>
      <sz val="10"/>
    </font>
    <font>
      <name val="맑은 고딕"/>
      <charset val="129"/>
      <family val="3"/>
      <sz val="10"/>
    </font>
    <font>
      <name val="돋움"/>
      <charset val="129"/>
      <family val="3"/>
      <sz val="10"/>
    </font>
  </fonts>
  <fills count="8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FFF0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2" fillId="0" borderId="0" applyAlignment="1" pivotButton="0" quotePrefix="0" xfId="0">
      <alignment horizontal="left" vertical="center"/>
    </xf>
    <xf numFmtId="0" fontId="19" fillId="2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26" fillId="0" borderId="0" applyAlignment="1" pivotButton="0" quotePrefix="0" xfId="0">
      <alignment vertical="top" wrapText="1"/>
    </xf>
    <xf numFmtId="0" fontId="3" fillId="6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7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A1" authorId="0" shapeId="0">
      <text>
        <t>1단계 정답지의 도면명. 예: 도면1, 도면5</t>
      </text>
    </comment>
    <comment ref="B1" authorId="0" shapeId="0">
      <text>
        <t>예: (1동), (2동), Y1열. 도면명에 동 정보가 있으면 그대로</t>
      </text>
    </comment>
    <comment ref="C1" authorId="0" shapeId="0">
      <text>
        <t>1단계 화이트리스트의 부호. 예: MC1, C1, SG1</t>
      </text>
    </comment>
    <comment ref="D1" authorId="0" shapeId="0">
      <text>
        <t>같은 부호 여러 개를 구분. 예: MC1-001, MC1-002</t>
      </text>
    </comment>
    <comment ref="E1" authorId="0" shapeId="0">
      <text>
        <t>길이를 읽은 시트명(평면도 X, 입면도·골구도·단면도 O). 예: (2동)Y01열골구도</t>
      </text>
    </comment>
    <comment ref="F1" authorId="0" shapeId="0">
      <text>
        <t>골구도/입면도/단면도/구조평면도 중 하나</t>
      </text>
    </comment>
    <comment ref="G1" authorId="0" shapeId="0">
      <text>
        <t>사람이 도면에서 읽은 정답 길이. 단위 mm</t>
      </text>
    </comment>
    <comment ref="H1" authorId="0" shapeId="0">
      <text>
        <t>어느 치수선·어느 점에서 어느 점까지인지 한 줄로</t>
      </text>
    </comment>
    <comment ref="I1" authorId="0" shapeId="0">
      <text>
        <t>부호 텍스트(평면도) 또는 측정 위치의 DXF 좌표 X (선택)</t>
      </text>
    </comment>
    <comment ref="J1" authorId="0" shapeId="0">
      <text>
        <t>동일 Y</t>
      </text>
    </comment>
    <comment ref="K1" authorId="0" shapeId="0">
      <text>
        <t>확정 / 추정 / 미상</t>
      </text>
    </comment>
    <comment ref="L1" authorId="0" shapeId="0">
      <text>
        <t>예: '슬래브 두께 100 차감 전 값', 'GL~RFL 합산'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zoomScaleNormal="100" workbookViewId="0">
      <selection activeCell="A15" sqref="A15"/>
    </sheetView>
  </sheetViews>
  <sheetFormatPr baseColWidth="8" defaultColWidth="8.6328125" defaultRowHeight="14.5"/>
  <cols>
    <col width="100" customWidth="1" min="1" max="1"/>
  </cols>
  <sheetData>
    <row r="1" ht="18" customHeight="1">
      <c r="A1" s="3" t="inlineStr">
        <is>
          <t>도면_길이_정답지</t>
        </is>
      </c>
    </row>
    <row r="2">
      <c r="A2" s="1" t="n"/>
    </row>
    <row r="3">
      <c r="A3" s="2" t="inlineStr">
        <is>
          <t>이 워크북은 3단계(기둥·보 길이 측정) 회귀 검증용 정답지다.</t>
        </is>
      </c>
    </row>
    <row r="4">
      <c r="A4" s="1" t="inlineStr">
        <is>
          <t>1단계 개수 정답지(도면_정답지.xlsx)와 별도 파일로 관리한다.</t>
        </is>
      </c>
    </row>
    <row r="5">
      <c r="A5" s="1" t="n"/>
    </row>
    <row r="6">
      <c r="A6" s="4" t="inlineStr">
        <is>
          <t>■ 시트 구성</t>
        </is>
      </c>
    </row>
    <row r="7">
      <c r="A7" s="1" t="inlineStr">
        <is>
          <t xml:space="preserve">  ① README — 이 안내</t>
        </is>
      </c>
    </row>
    <row r="8">
      <c r="A8" s="2" t="inlineStr">
        <is>
          <t xml:space="preserve">  ② 도면X-기둥-길이 — 도면별 기둥 부재 인스턴스 단위 길이 정답</t>
        </is>
      </c>
    </row>
    <row r="9">
      <c r="A9" s="2" t="inlineStr">
        <is>
          <t xml:space="preserve">  ③ 도면X-보-길이 — 도면별 보 부재 인스턴스 단위 길이 정답</t>
        </is>
      </c>
    </row>
    <row r="10">
      <c r="A10" s="2" t="inlineStr">
        <is>
          <t xml:space="preserve">  ④ 도면라우팅 — 어느 도면에서 길이를 읽어야 하는지 메타정보 (시스템이 자동 참조)</t>
        </is>
      </c>
    </row>
    <row r="11">
      <c r="A11" s="2" t="inlineStr">
        <is>
          <t xml:space="preserve">  ⑤ 강재단위중량 — H강·각형강 등 규격→단위중량(kg/m) 룩업 테이블 (선택)</t>
        </is>
      </c>
    </row>
    <row r="12">
      <c r="A12" s="1" t="n"/>
    </row>
    <row r="13">
      <c r="A13" s="4" t="inlineStr">
        <is>
          <t>■ 셀 색 규약 (xlsx 표준 따름)</t>
        </is>
      </c>
    </row>
    <row r="14">
      <c r="A14" s="2" t="inlineStr">
        <is>
          <t xml:space="preserve">  옅은 파랑(D9E1F2) — 메타 정보. 1단계 정답지에서 그대로 복사하거나 자동 채워짐</t>
        </is>
      </c>
    </row>
    <row r="15">
      <c r="A15" s="2" t="inlineStr">
        <is>
          <t xml:space="preserve">  옅은 노랑(FFF2CC) — 사람이 채울 입력 칸 (길이, 측정 근거 등)</t>
        </is>
      </c>
    </row>
    <row r="16">
      <c r="A16" s="2" t="inlineStr">
        <is>
          <t xml:space="preserve">  옅은 초록(E2EFDA) — 수식 (합계, 평균 등 자동 계산)</t>
        </is>
      </c>
    </row>
    <row r="17">
      <c r="A17" s="1" t="n"/>
    </row>
    <row r="18">
      <c r="A18" s="4" t="inlineStr">
        <is>
          <t>■ 행 단위 — '부재 인스턴스 1개당 1행' 원칙</t>
        </is>
      </c>
    </row>
    <row r="19">
      <c r="A19" s="2" t="inlineStr">
        <is>
          <t xml:space="preserve">  같은 부호(예: MC1)가 여러 개면 각각 별도 행. 인스턴스ID로 구분.</t>
        </is>
      </c>
    </row>
    <row r="20">
      <c r="A20" s="2" t="inlineStr">
        <is>
          <t xml:space="preserve">  같은 인스턴스라도 동(棟)이 다르면 별도 행. (1동 MC1과 2동 MC1은 다른 부재)</t>
        </is>
      </c>
    </row>
    <row r="21">
      <c r="A21" s="1" t="n"/>
    </row>
    <row r="22">
      <c r="A22" s="4" t="inlineStr">
        <is>
          <t>■ 채우는 순서 권장</t>
        </is>
      </c>
    </row>
    <row r="23">
      <c r="A23" s="1" t="inlineStr">
        <is>
          <t xml:space="preserve">  1) 도면라우팅 시트를 먼저 채운다 — 어느 도면 페이지에서 길이를 읽을지</t>
        </is>
      </c>
    </row>
    <row r="24">
      <c r="A24" s="1" t="inlineStr">
        <is>
          <t xml:space="preserve">  2) 작은 도면부터 — 도면5 기둥(20개)이 가장 적음. 다음 도면3(32개)</t>
        </is>
      </c>
    </row>
    <row r="25">
      <c r="A25" s="1" t="inlineStr">
        <is>
          <t xml:space="preserve">  3) 한 부호의 표본 1~2개부터 — 매핑 알고리즘 검증 후 확장</t>
        </is>
      </c>
    </row>
    <row r="26">
      <c r="A26" s="1" t="inlineStr">
        <is>
          <t xml:space="preserve">  4) 신뢰도 컬럼을 솔직하게 — 도면에서 불명확한 건 '추정'으로 표시</t>
        </is>
      </c>
    </row>
    <row r="27">
      <c r="A27" s="1" t="n"/>
    </row>
    <row r="28">
      <c r="A28" s="5" t="inlineStr">
        <is>
          <t>■ 1단계와의 인터페이스</t>
        </is>
      </c>
    </row>
    <row r="29">
      <c r="A29" s="1" t="inlineStr">
        <is>
          <t xml:space="preserve">  1단계 도면_정답지.xlsx의 (도면, 부호, 합계) 정보가 이 정답지의 행 수와 일치해야 함.</t>
        </is>
      </c>
    </row>
    <row r="30">
      <c r="A30" s="2" t="inlineStr">
        <is>
          <t xml:space="preserve">  예: 도면5 기둥 정답지의 합계 행이 C1=2이면, 도면5-기둥-길이 시트에 C1 행이 2개.</t>
        </is>
      </c>
    </row>
    <row r="31">
      <c r="A31" s="2" t="inlineStr">
        <is>
          <t xml:space="preserve">  이 일치 검증은 회귀 테스트에 추가 권장.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tabSelected="1" zoomScaleNormal="100" workbookViewId="0">
      <pane ySplit="1" topLeftCell="A11" activePane="bottomLeft" state="frozen"/>
      <selection pane="bottomLeft" activeCell="L20" sqref="L20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</cols>
  <sheetData>
    <row r="1" ht="31.5" customHeight="1">
      <c r="A1" s="6" t="inlineStr">
        <is>
          <t>도면</t>
        </is>
      </c>
      <c r="B1" s="16" t="inlineStr">
        <is>
          <t>동·구역</t>
        </is>
      </c>
      <c r="C1" s="6" t="inlineStr">
        <is>
          <t>부호</t>
        </is>
      </c>
      <c r="D1" s="6" t="inlineStr">
        <is>
          <t>인스턴스ID</t>
        </is>
      </c>
      <c r="E1" s="6" t="inlineStr">
        <is>
          <t>측정 소스 도면</t>
        </is>
      </c>
      <c r="F1" s="6" t="inlineStr">
        <is>
          <t>도면 종류</t>
        </is>
      </c>
      <c r="G1" s="6" t="inlineStr">
        <is>
          <t>길이(mm)</t>
        </is>
      </c>
      <c r="H1" s="6" t="inlineStr">
        <is>
          <t>측정 근거</t>
        </is>
      </c>
      <c r="I1" s="6" t="inlineStr">
        <is>
          <t>참조좌표 X</t>
        </is>
      </c>
      <c r="J1" s="6" t="inlineStr">
        <is>
          <t>참조좌표 Y</t>
        </is>
      </c>
      <c r="K1" s="6" t="inlineStr">
        <is>
          <t>신뢰도</t>
        </is>
      </c>
      <c r="L1" s="6" t="inlineStr">
        <is>
          <t>비고</t>
        </is>
      </c>
    </row>
    <row r="2" ht="25" customHeight="1">
      <c r="A2" s="17" t="inlineStr">
        <is>
          <t>도면1</t>
        </is>
      </c>
      <c r="B2" s="18" t="inlineStr">
        <is>
          <t>1동</t>
        </is>
      </c>
      <c r="C2" s="19" t="inlineStr">
        <is>
          <t>MC1</t>
        </is>
      </c>
      <c r="D2" s="18" t="inlineStr">
        <is>
          <t>MC1-001</t>
        </is>
      </c>
      <c r="E2" s="20" t="inlineStr">
        <is>
          <t>(소스 도면 없음)</t>
        </is>
      </c>
      <c r="F2" s="21" t="inlineStr">
        <is>
          <t>(없음)</t>
        </is>
      </c>
      <c r="G2" s="21" t="n"/>
      <c r="H2" s="20" t="inlineStr">
        <is>
          <t>1동에 골구도/입면도/단면도 시트가 없어 기둥 길이 산출 불가</t>
        </is>
      </c>
      <c r="I2" s="21" t="n"/>
      <c r="J2" s="21" t="n"/>
      <c r="K2" s="21" t="inlineStr">
        <is>
          <t>low</t>
        </is>
      </c>
      <c r="L2" s="41" t="inlineStr">
        <is>
          <t>MC1 규격: H-588x300x12/20</t>
        </is>
      </c>
    </row>
    <row r="3" ht="25.5" customHeight="1">
      <c r="A3" s="17" t="inlineStr">
        <is>
          <t>도면1</t>
        </is>
      </c>
      <c r="B3" s="18" t="inlineStr">
        <is>
          <t>1동</t>
        </is>
      </c>
      <c r="C3" s="19" t="inlineStr">
        <is>
          <t>MC1</t>
        </is>
      </c>
      <c r="D3" s="18" t="inlineStr">
        <is>
          <t>MC1-002</t>
        </is>
      </c>
      <c r="E3" s="20" t="inlineStr">
        <is>
          <t>(소스 도면 없음)</t>
        </is>
      </c>
      <c r="F3" s="21" t="inlineStr">
        <is>
          <t>(없음)</t>
        </is>
      </c>
      <c r="G3" s="21" t="n"/>
      <c r="H3" s="20" t="inlineStr">
        <is>
          <t>1동에 골구도/입면도/단면도 시트가 없어 기둥 길이 산출 불가</t>
        </is>
      </c>
      <c r="I3" s="21" t="n"/>
      <c r="J3" s="21" t="n"/>
      <c r="K3" s="21" t="inlineStr">
        <is>
          <t>low</t>
        </is>
      </c>
      <c r="L3" s="41" t="inlineStr">
        <is>
          <t>MC1 규격: H-588x300x12/20</t>
        </is>
      </c>
    </row>
    <row r="4" ht="25.5" customHeight="1">
      <c r="A4" s="17" t="inlineStr">
        <is>
          <t>도면1</t>
        </is>
      </c>
      <c r="B4" s="18" t="inlineStr">
        <is>
          <t>1동</t>
        </is>
      </c>
      <c r="C4" s="19" t="inlineStr">
        <is>
          <t>MC1</t>
        </is>
      </c>
      <c r="D4" s="18" t="inlineStr">
        <is>
          <t>MC1-003</t>
        </is>
      </c>
      <c r="E4" s="20" t="inlineStr">
        <is>
          <t>(소스 도면 없음)</t>
        </is>
      </c>
      <c r="F4" s="21" t="inlineStr">
        <is>
          <t>(없음)</t>
        </is>
      </c>
      <c r="G4" s="21" t="n"/>
      <c r="H4" s="20" t="inlineStr">
        <is>
          <t>1동에 골구도/입면도/단면도 시트가 없어 기둥 길이 산출 불가</t>
        </is>
      </c>
      <c r="I4" s="21" t="n"/>
      <c r="J4" s="21" t="n"/>
      <c r="K4" s="21" t="inlineStr">
        <is>
          <t>low</t>
        </is>
      </c>
      <c r="L4" s="41" t="inlineStr">
        <is>
          <t>MC1 규격: H-588x300x12/20</t>
        </is>
      </c>
    </row>
    <row r="5" ht="25.5" customHeight="1">
      <c r="A5" s="17" t="inlineStr">
        <is>
          <t>도면1</t>
        </is>
      </c>
      <c r="B5" s="18" t="inlineStr">
        <is>
          <t>1동</t>
        </is>
      </c>
      <c r="C5" s="19" t="inlineStr">
        <is>
          <t>MC1</t>
        </is>
      </c>
      <c r="D5" s="18" t="inlineStr">
        <is>
          <t>MC1-004</t>
        </is>
      </c>
      <c r="E5" s="20" t="inlineStr">
        <is>
          <t>(소스 도면 없음)</t>
        </is>
      </c>
      <c r="F5" s="21" t="inlineStr">
        <is>
          <t>(없음)</t>
        </is>
      </c>
      <c r="G5" s="21" t="n"/>
      <c r="H5" s="20" t="inlineStr">
        <is>
          <t>1동에 골구도/입면도/단면도 시트가 없어 기둥 길이 산출 불가</t>
        </is>
      </c>
      <c r="I5" s="21" t="n"/>
      <c r="J5" s="21" t="n"/>
      <c r="K5" s="21" t="inlineStr">
        <is>
          <t>low</t>
        </is>
      </c>
      <c r="L5" s="41" t="inlineStr">
        <is>
          <t>MC1 규격: H-588x300x12/20</t>
        </is>
      </c>
    </row>
    <row r="6" ht="25.5" customHeight="1">
      <c r="A6" s="17" t="inlineStr">
        <is>
          <t>도면1</t>
        </is>
      </c>
      <c r="B6" s="18" t="inlineStr">
        <is>
          <t>1동</t>
        </is>
      </c>
      <c r="C6" s="19" t="inlineStr">
        <is>
          <t>MC1</t>
        </is>
      </c>
      <c r="D6" s="18" t="inlineStr">
        <is>
          <t>MC1-005</t>
        </is>
      </c>
      <c r="E6" s="20" t="inlineStr">
        <is>
          <t>(소스 도면 없음)</t>
        </is>
      </c>
      <c r="F6" s="21" t="inlineStr">
        <is>
          <t>(없음)</t>
        </is>
      </c>
      <c r="G6" s="21" t="n"/>
      <c r="H6" s="20" t="inlineStr">
        <is>
          <t>1동에 골구도/입면도/단면도 시트가 없어 기둥 길이 산출 불가</t>
        </is>
      </c>
      <c r="I6" s="21" t="n"/>
      <c r="J6" s="21" t="n"/>
      <c r="K6" s="21" t="inlineStr">
        <is>
          <t>low</t>
        </is>
      </c>
      <c r="L6" s="41" t="inlineStr">
        <is>
          <t>MC1 규격: H-588x300x12/20</t>
        </is>
      </c>
    </row>
    <row r="7" ht="25.5" customHeight="1">
      <c r="A7" s="17" t="inlineStr">
        <is>
          <t>도면1</t>
        </is>
      </c>
      <c r="B7" s="18" t="inlineStr">
        <is>
          <t>1동</t>
        </is>
      </c>
      <c r="C7" s="19" t="inlineStr">
        <is>
          <t>MC1</t>
        </is>
      </c>
      <c r="D7" s="18" t="inlineStr">
        <is>
          <t>MC1-006</t>
        </is>
      </c>
      <c r="E7" s="20" t="inlineStr">
        <is>
          <t>(소스 도면 없음)</t>
        </is>
      </c>
      <c r="F7" s="21" t="inlineStr">
        <is>
          <t>(없음)</t>
        </is>
      </c>
      <c r="G7" s="21" t="n"/>
      <c r="H7" s="20" t="inlineStr">
        <is>
          <t>1동에 골구도/입면도/단면도 시트가 없어 기둥 길이 산출 불가</t>
        </is>
      </c>
      <c r="I7" s="21" t="n"/>
      <c r="J7" s="21" t="n"/>
      <c r="K7" s="21" t="inlineStr">
        <is>
          <t>low</t>
        </is>
      </c>
      <c r="L7" s="41" t="inlineStr">
        <is>
          <t>MC1 규격: H-588x300x12/20</t>
        </is>
      </c>
    </row>
    <row r="8" ht="25.5" customHeight="1">
      <c r="A8" s="17" t="inlineStr">
        <is>
          <t>도면1</t>
        </is>
      </c>
      <c r="B8" s="18" t="inlineStr">
        <is>
          <t>1동</t>
        </is>
      </c>
      <c r="C8" s="19" t="inlineStr">
        <is>
          <t>MC1</t>
        </is>
      </c>
      <c r="D8" s="18" t="inlineStr">
        <is>
          <t>MC1-007</t>
        </is>
      </c>
      <c r="E8" s="20" t="inlineStr">
        <is>
          <t>(소스 도면 없음)</t>
        </is>
      </c>
      <c r="F8" s="21" t="inlineStr">
        <is>
          <t>(없음)</t>
        </is>
      </c>
      <c r="G8" s="21" t="n"/>
      <c r="H8" s="20" t="inlineStr">
        <is>
          <t>1동에 골구도/입면도/단면도 시트가 없어 기둥 길이 산출 불가</t>
        </is>
      </c>
      <c r="I8" s="21" t="n"/>
      <c r="J8" s="21" t="n"/>
      <c r="K8" s="21" t="inlineStr">
        <is>
          <t>low</t>
        </is>
      </c>
      <c r="L8" s="41" t="inlineStr">
        <is>
          <t>MC1 규격: H-588x300x12/20</t>
        </is>
      </c>
    </row>
    <row r="9" ht="25.5" customHeight="1">
      <c r="A9" s="17" t="inlineStr">
        <is>
          <t>도면1</t>
        </is>
      </c>
      <c r="B9" s="18" t="inlineStr">
        <is>
          <t>1동</t>
        </is>
      </c>
      <c r="C9" s="19" t="inlineStr">
        <is>
          <t>MC1</t>
        </is>
      </c>
      <c r="D9" s="18" t="inlineStr">
        <is>
          <t>MC1-008</t>
        </is>
      </c>
      <c r="E9" s="20" t="inlineStr">
        <is>
          <t>(소스 도면 없음)</t>
        </is>
      </c>
      <c r="F9" s="21" t="inlineStr">
        <is>
          <t>(없음)</t>
        </is>
      </c>
      <c r="G9" s="21" t="n"/>
      <c r="H9" s="20" t="inlineStr">
        <is>
          <t>1동에 골구도/입면도/단면도 시트가 없어 기둥 길이 산출 불가</t>
        </is>
      </c>
      <c r="I9" s="21" t="n"/>
      <c r="J9" s="21" t="n"/>
      <c r="K9" s="21" t="inlineStr">
        <is>
          <t>low</t>
        </is>
      </c>
      <c r="L9" s="41" t="inlineStr">
        <is>
          <t>MC1 규격: H-588x300x12/20</t>
        </is>
      </c>
    </row>
    <row r="10" ht="25.5" customHeight="1">
      <c r="A10" s="17" t="inlineStr">
        <is>
          <t>도면1</t>
        </is>
      </c>
      <c r="B10" s="18" t="inlineStr">
        <is>
          <t>1동</t>
        </is>
      </c>
      <c r="C10" s="19" t="inlineStr">
        <is>
          <t>MC1</t>
        </is>
      </c>
      <c r="D10" s="18" t="inlineStr">
        <is>
          <t>MC1-009</t>
        </is>
      </c>
      <c r="E10" s="20" t="inlineStr">
        <is>
          <t>(소스 도면 없음)</t>
        </is>
      </c>
      <c r="F10" s="21" t="inlineStr">
        <is>
          <t>(없음)</t>
        </is>
      </c>
      <c r="G10" s="21" t="n"/>
      <c r="H10" s="20" t="inlineStr">
        <is>
          <t>1동에 골구도/입면도/단면도 시트가 없어 기둥 길이 산출 불가</t>
        </is>
      </c>
      <c r="I10" s="21" t="n"/>
      <c r="J10" s="21" t="n"/>
      <c r="K10" s="21" t="inlineStr">
        <is>
          <t>low</t>
        </is>
      </c>
      <c r="L10" s="41" t="inlineStr">
        <is>
          <t>MC1 규격: H-588x300x12/20</t>
        </is>
      </c>
    </row>
    <row r="11" ht="25.5" customHeight="1">
      <c r="A11" s="17" t="inlineStr">
        <is>
          <t>도면1</t>
        </is>
      </c>
      <c r="B11" s="18" t="inlineStr">
        <is>
          <t>1동</t>
        </is>
      </c>
      <c r="C11" s="19" t="inlineStr">
        <is>
          <t>MC1</t>
        </is>
      </c>
      <c r="D11" s="18" t="inlineStr">
        <is>
          <t>MC1-010</t>
        </is>
      </c>
      <c r="E11" s="20" t="inlineStr">
        <is>
          <t>(소스 도면 없음)</t>
        </is>
      </c>
      <c r="F11" s="21" t="inlineStr">
        <is>
          <t>(없음)</t>
        </is>
      </c>
      <c r="G11" s="21" t="n"/>
      <c r="H11" s="20" t="inlineStr">
        <is>
          <t>1동에 골구도/입면도/단면도 시트가 없어 기둥 길이 산출 불가</t>
        </is>
      </c>
      <c r="I11" s="21" t="n"/>
      <c r="J11" s="21" t="n"/>
      <c r="K11" s="21" t="inlineStr">
        <is>
          <t>low</t>
        </is>
      </c>
      <c r="L11" s="41" t="inlineStr">
        <is>
          <t>MC1 규격: H-588x300x12/20</t>
        </is>
      </c>
    </row>
    <row r="12" ht="25.5" customHeight="1">
      <c r="A12" s="17" t="inlineStr">
        <is>
          <t>도면1</t>
        </is>
      </c>
      <c r="B12" s="18" t="inlineStr">
        <is>
          <t>1동</t>
        </is>
      </c>
      <c r="C12" s="19" t="inlineStr">
        <is>
          <t>MC1</t>
        </is>
      </c>
      <c r="D12" s="18" t="inlineStr">
        <is>
          <t>MC1-011</t>
        </is>
      </c>
      <c r="E12" s="20" t="inlineStr">
        <is>
          <t>(소스 도면 없음)</t>
        </is>
      </c>
      <c r="F12" s="21" t="inlineStr">
        <is>
          <t>(없음)</t>
        </is>
      </c>
      <c r="G12" s="21" t="n"/>
      <c r="H12" s="20" t="inlineStr">
        <is>
          <t>1동에 골구도/입면도/단면도 시트가 없어 기둥 길이 산출 불가</t>
        </is>
      </c>
      <c r="I12" s="21" t="n"/>
      <c r="J12" s="21" t="n"/>
      <c r="K12" s="21" t="inlineStr">
        <is>
          <t>low</t>
        </is>
      </c>
      <c r="L12" s="41" t="inlineStr">
        <is>
          <t>MC1 규격: H-588x300x12/20</t>
        </is>
      </c>
    </row>
    <row r="13" ht="25.5" customHeight="1">
      <c r="A13" s="17" t="inlineStr">
        <is>
          <t>도면1</t>
        </is>
      </c>
      <c r="B13" s="18" t="inlineStr">
        <is>
          <t>1동</t>
        </is>
      </c>
      <c r="C13" s="19" t="inlineStr">
        <is>
          <t>MC1</t>
        </is>
      </c>
      <c r="D13" s="18" t="inlineStr">
        <is>
          <t>MC1-012</t>
        </is>
      </c>
      <c r="E13" s="20" t="inlineStr">
        <is>
          <t>(소스 도면 없음)</t>
        </is>
      </c>
      <c r="F13" s="21" t="inlineStr">
        <is>
          <t>(없음)</t>
        </is>
      </c>
      <c r="G13" s="21" t="n"/>
      <c r="H13" s="20" t="inlineStr">
        <is>
          <t>1동에 골구도/입면도/단면도 시트가 없어 기둥 길이 산출 불가</t>
        </is>
      </c>
      <c r="I13" s="21" t="n"/>
      <c r="J13" s="21" t="n"/>
      <c r="K13" s="21" t="inlineStr">
        <is>
          <t>low</t>
        </is>
      </c>
      <c r="L13" s="41" t="inlineStr">
        <is>
          <t>MC1 규격: H-588x300x12/20</t>
        </is>
      </c>
    </row>
    <row r="14" ht="25" customHeight="1">
      <c r="A14" s="17" t="inlineStr">
        <is>
          <t>도면1</t>
        </is>
      </c>
      <c r="B14" s="18" t="inlineStr">
        <is>
          <t>1동</t>
        </is>
      </c>
      <c r="C14" s="19" t="inlineStr">
        <is>
          <t>MC2</t>
        </is>
      </c>
      <c r="D14" s="18" t="inlineStr">
        <is>
          <t>MC2-001</t>
        </is>
      </c>
      <c r="E14" s="20" t="inlineStr">
        <is>
          <t>(소스 도면 없음)</t>
        </is>
      </c>
      <c r="F14" s="21" t="inlineStr">
        <is>
          <t>(없음)</t>
        </is>
      </c>
      <c r="G14" s="21" t="n"/>
      <c r="H14" s="20" t="inlineStr">
        <is>
          <t>1동에 골구도/입면도/단면도 시트가 없어 기둥 길이 산출 불가</t>
        </is>
      </c>
      <c r="I14" s="21" t="n"/>
      <c r="J14" s="21" t="n"/>
      <c r="K14" s="21" t="inlineStr">
        <is>
          <t>low</t>
        </is>
      </c>
      <c r="L14" s="41" t="inlineStr">
        <is>
          <t>MC2 규격: H-200x200x8/12</t>
        </is>
      </c>
    </row>
    <row r="15" ht="25" customHeight="1">
      <c r="A15" s="17" t="inlineStr">
        <is>
          <t>도면1</t>
        </is>
      </c>
      <c r="B15" s="18" t="inlineStr">
        <is>
          <t>1동</t>
        </is>
      </c>
      <c r="C15" s="19" t="inlineStr">
        <is>
          <t>MC2</t>
        </is>
      </c>
      <c r="D15" s="18" t="inlineStr">
        <is>
          <t>MC2-002</t>
        </is>
      </c>
      <c r="E15" s="20" t="inlineStr">
        <is>
          <t>(소스 도면 없음)</t>
        </is>
      </c>
      <c r="F15" s="21" t="inlineStr">
        <is>
          <t>(없음)</t>
        </is>
      </c>
      <c r="G15" s="21" t="n"/>
      <c r="H15" s="20" t="inlineStr">
        <is>
          <t>1동에 골구도/입면도/단면도 시트가 없어 기둥 길이 산출 불가</t>
        </is>
      </c>
      <c r="I15" s="21" t="n"/>
      <c r="J15" s="21" t="n"/>
      <c r="K15" s="21" t="inlineStr">
        <is>
          <t>low</t>
        </is>
      </c>
      <c r="L15" s="41" t="inlineStr">
        <is>
          <t>MC2 규격: H-200x200x8/12</t>
        </is>
      </c>
    </row>
    <row r="16" ht="25" customHeight="1">
      <c r="A16" s="17" t="inlineStr">
        <is>
          <t>도면1</t>
        </is>
      </c>
      <c r="B16" s="18" t="inlineStr">
        <is>
          <t>1동</t>
        </is>
      </c>
      <c r="C16" s="19" t="inlineStr">
        <is>
          <t>MC2</t>
        </is>
      </c>
      <c r="D16" s="18" t="inlineStr">
        <is>
          <t>MC2-003</t>
        </is>
      </c>
      <c r="E16" s="20" t="inlineStr">
        <is>
          <t>(소스 도면 없음)</t>
        </is>
      </c>
      <c r="F16" s="21" t="inlineStr">
        <is>
          <t>(없음)</t>
        </is>
      </c>
      <c r="G16" s="21" t="n"/>
      <c r="H16" s="20" t="inlineStr">
        <is>
          <t>1동에 골구도/입면도/단면도 시트가 없어 기둥 길이 산출 불가</t>
        </is>
      </c>
      <c r="I16" s="21" t="n"/>
      <c r="J16" s="21" t="n"/>
      <c r="K16" s="21" t="inlineStr">
        <is>
          <t>low</t>
        </is>
      </c>
      <c r="L16" s="41" t="inlineStr">
        <is>
          <t>MC2 규격: H-200x200x8/12</t>
        </is>
      </c>
    </row>
    <row r="17" ht="25" customHeight="1">
      <c r="A17" s="17" t="inlineStr">
        <is>
          <t>도면1</t>
        </is>
      </c>
      <c r="B17" s="18" t="inlineStr">
        <is>
          <t>1동</t>
        </is>
      </c>
      <c r="C17" s="19" t="inlineStr">
        <is>
          <t>MC2</t>
        </is>
      </c>
      <c r="D17" s="18" t="inlineStr">
        <is>
          <t>MC2-004</t>
        </is>
      </c>
      <c r="E17" s="20" t="inlineStr">
        <is>
          <t>(소스 도면 없음)</t>
        </is>
      </c>
      <c r="F17" s="21" t="inlineStr">
        <is>
          <t>(없음)</t>
        </is>
      </c>
      <c r="G17" s="21" t="n"/>
      <c r="H17" s="20" t="inlineStr">
        <is>
          <t>1동에 골구도/입면도/단면도 시트가 없어 기둥 길이 산출 불가</t>
        </is>
      </c>
      <c r="I17" s="21" t="n"/>
      <c r="J17" s="21" t="n"/>
      <c r="K17" s="21" t="inlineStr">
        <is>
          <t>low</t>
        </is>
      </c>
      <c r="L17" s="41" t="inlineStr">
        <is>
          <t>MC2 규격: H-200x200x8/12</t>
        </is>
      </c>
    </row>
    <row r="18" ht="25" customHeight="1">
      <c r="A18" s="17" t="inlineStr">
        <is>
          <t>도면1</t>
        </is>
      </c>
      <c r="B18" s="18" t="inlineStr">
        <is>
          <t>1동</t>
        </is>
      </c>
      <c r="C18" s="19" t="inlineStr">
        <is>
          <t>MC2</t>
        </is>
      </c>
      <c r="D18" s="18" t="inlineStr">
        <is>
          <t>MC2-005</t>
        </is>
      </c>
      <c r="E18" s="20" t="inlineStr">
        <is>
          <t>(소스 도면 없음)</t>
        </is>
      </c>
      <c r="F18" s="21" t="inlineStr">
        <is>
          <t>(없음)</t>
        </is>
      </c>
      <c r="G18" s="21" t="n"/>
      <c r="H18" s="20" t="inlineStr">
        <is>
          <t>1동에 골구도/입면도/단면도 시트가 없어 기둥 길이 산출 불가</t>
        </is>
      </c>
      <c r="I18" s="21" t="n"/>
      <c r="J18" s="21" t="n"/>
      <c r="K18" s="21" t="inlineStr">
        <is>
          <t>low</t>
        </is>
      </c>
      <c r="L18" s="41" t="inlineStr">
        <is>
          <t>MC2 규격: H-200x200x8/12</t>
        </is>
      </c>
    </row>
    <row r="19" ht="25" customHeight="1">
      <c r="A19" s="17" t="inlineStr">
        <is>
          <t>도면1</t>
        </is>
      </c>
      <c r="B19" s="18" t="inlineStr">
        <is>
          <t>1동</t>
        </is>
      </c>
      <c r="C19" s="19" t="inlineStr">
        <is>
          <t>MC2</t>
        </is>
      </c>
      <c r="D19" s="18" t="inlineStr">
        <is>
          <t>MC2-006</t>
        </is>
      </c>
      <c r="E19" s="20" t="inlineStr">
        <is>
          <t>(소스 도면 없음)</t>
        </is>
      </c>
      <c r="F19" s="21" t="inlineStr">
        <is>
          <t>(없음)</t>
        </is>
      </c>
      <c r="G19" s="21" t="n"/>
      <c r="H19" s="20" t="inlineStr">
        <is>
          <t>1동에 골구도/입면도/단면도 시트가 없어 기둥 길이 산출 불가</t>
        </is>
      </c>
      <c r="I19" s="21" t="n"/>
      <c r="J19" s="21" t="n"/>
      <c r="K19" s="21" t="inlineStr">
        <is>
          <t>low</t>
        </is>
      </c>
      <c r="L19" s="41" t="inlineStr">
        <is>
          <t>MC2 규격: H-200x200x8/12</t>
        </is>
      </c>
    </row>
    <row r="20" ht="25" customHeight="1">
      <c r="A20" s="17" t="inlineStr">
        <is>
          <t>도면1</t>
        </is>
      </c>
      <c r="B20" s="18" t="inlineStr">
        <is>
          <t>1동</t>
        </is>
      </c>
      <c r="C20" s="19" t="inlineStr">
        <is>
          <t>MC2</t>
        </is>
      </c>
      <c r="D20" s="18" t="inlineStr">
        <is>
          <t>MC2-007</t>
        </is>
      </c>
      <c r="E20" s="20" t="inlineStr">
        <is>
          <t>(소스 도면 없음)</t>
        </is>
      </c>
      <c r="F20" s="21" t="inlineStr">
        <is>
          <t>(없음)</t>
        </is>
      </c>
      <c r="G20" s="21" t="n"/>
      <c r="H20" s="20" t="inlineStr">
        <is>
          <t>1동에 골구도/입면도/단면도 시트가 없어 기둥 길이 산출 불가</t>
        </is>
      </c>
      <c r="I20" s="21" t="n"/>
      <c r="J20" s="21" t="n"/>
      <c r="K20" s="21" t="inlineStr">
        <is>
          <t>low</t>
        </is>
      </c>
      <c r="L20" s="41" t="inlineStr">
        <is>
          <t>MC2 규격: H-200x200x8/12</t>
        </is>
      </c>
    </row>
    <row r="21" ht="25" customHeight="1">
      <c r="A21" s="17" t="inlineStr">
        <is>
          <t>도면1</t>
        </is>
      </c>
      <c r="B21" s="18" t="inlineStr">
        <is>
          <t>1동</t>
        </is>
      </c>
      <c r="C21" s="19" t="inlineStr">
        <is>
          <t>MC2</t>
        </is>
      </c>
      <c r="D21" s="18" t="inlineStr">
        <is>
          <t>MC2-008</t>
        </is>
      </c>
      <c r="E21" s="20" t="inlineStr">
        <is>
          <t>(소스 도면 없음)</t>
        </is>
      </c>
      <c r="F21" s="21" t="inlineStr">
        <is>
          <t>(없음)</t>
        </is>
      </c>
      <c r="G21" s="21" t="n"/>
      <c r="H21" s="20" t="inlineStr">
        <is>
          <t>1동에 골구도/입면도/단면도 시트가 없어 기둥 길이 산출 불가</t>
        </is>
      </c>
      <c r="I21" s="21" t="n"/>
      <c r="J21" s="21" t="n"/>
      <c r="K21" s="21" t="inlineStr">
        <is>
          <t>low</t>
        </is>
      </c>
      <c r="L21" s="41" t="inlineStr">
        <is>
          <t>MC2 규격: H-200x200x8/12</t>
        </is>
      </c>
    </row>
    <row r="22" ht="25" customHeight="1">
      <c r="A22" s="17" t="inlineStr">
        <is>
          <t>도면1</t>
        </is>
      </c>
      <c r="B22" s="18" t="inlineStr">
        <is>
          <t>1동</t>
        </is>
      </c>
      <c r="C22" s="19" t="inlineStr">
        <is>
          <t>MC2</t>
        </is>
      </c>
      <c r="D22" s="18" t="inlineStr">
        <is>
          <t>MC2-009</t>
        </is>
      </c>
      <c r="E22" s="20" t="inlineStr">
        <is>
          <t>(소스 도면 없음)</t>
        </is>
      </c>
      <c r="F22" s="21" t="inlineStr">
        <is>
          <t>(없음)</t>
        </is>
      </c>
      <c r="G22" s="21" t="n"/>
      <c r="H22" s="20" t="inlineStr">
        <is>
          <t>1동에 골구도/입면도/단면도 시트가 없어 기둥 길이 산출 불가</t>
        </is>
      </c>
      <c r="I22" s="21" t="n"/>
      <c r="J22" s="21" t="n"/>
      <c r="K22" s="21" t="inlineStr">
        <is>
          <t>low</t>
        </is>
      </c>
      <c r="L22" s="41" t="inlineStr">
        <is>
          <t>MC2 규격: H-200x200x8/12</t>
        </is>
      </c>
    </row>
    <row r="23" ht="25" customHeight="1">
      <c r="A23" s="17" t="inlineStr">
        <is>
          <t>도면1</t>
        </is>
      </c>
      <c r="B23" s="18" t="inlineStr">
        <is>
          <t>1동</t>
        </is>
      </c>
      <c r="C23" s="19" t="inlineStr">
        <is>
          <t>MC2</t>
        </is>
      </c>
      <c r="D23" s="18" t="inlineStr">
        <is>
          <t>MC2-010</t>
        </is>
      </c>
      <c r="E23" s="20" t="inlineStr">
        <is>
          <t>(소스 도면 없음)</t>
        </is>
      </c>
      <c r="F23" s="21" t="inlineStr">
        <is>
          <t>(없음)</t>
        </is>
      </c>
      <c r="G23" s="21" t="n"/>
      <c r="H23" s="20" t="inlineStr">
        <is>
          <t>1동에 골구도/입면도/단면도 시트가 없어 기둥 길이 산출 불가</t>
        </is>
      </c>
      <c r="I23" s="21" t="n"/>
      <c r="J23" s="21" t="n"/>
      <c r="K23" s="21" t="inlineStr">
        <is>
          <t>low</t>
        </is>
      </c>
      <c r="L23" s="41" t="inlineStr">
        <is>
          <t>MC2 규격: H-200x200x8/12</t>
        </is>
      </c>
    </row>
    <row r="24" ht="25" customHeight="1">
      <c r="A24" s="17" t="inlineStr">
        <is>
          <t>도면1</t>
        </is>
      </c>
      <c r="B24" s="18" t="inlineStr">
        <is>
          <t>2동</t>
        </is>
      </c>
      <c r="C24" s="19" t="inlineStr">
        <is>
          <t>MC1</t>
        </is>
      </c>
      <c r="D24" s="18" t="inlineStr">
        <is>
          <t>MC1-001</t>
        </is>
      </c>
      <c r="E24" s="20" t="inlineStr">
        <is>
          <t>(2동)Y01열골구도, (2동)Y03,Y05열골구도</t>
        </is>
      </c>
      <c r="F24" s="22" t="inlineStr">
        <is>
          <t>골구도</t>
        </is>
      </c>
      <c r="G24" s="21" t="n">
        <v>6000</v>
      </c>
      <c r="H24" s="23" t="inlineStr">
        <is>
          <t>골구도 수직선 GL~상단 = 4700+1300 = 6000 (보 레벨 분할 치수 합산)</t>
        </is>
      </c>
      <c r="I24" s="21" t="n"/>
      <c r="J24" s="21" t="n"/>
      <c r="K24" s="21" t="inlineStr">
        <is>
          <t>high</t>
        </is>
      </c>
      <c r="L24" s="41" t="inlineStr">
        <is>
          <t>MC1 규격: H-400x200x8/13</t>
        </is>
      </c>
    </row>
    <row r="25" ht="25" customHeight="1">
      <c r="A25" s="17" t="inlineStr">
        <is>
          <t>도면1</t>
        </is>
      </c>
      <c r="B25" s="18" t="inlineStr">
        <is>
          <t>2동</t>
        </is>
      </c>
      <c r="C25" s="19" t="inlineStr">
        <is>
          <t>MC1</t>
        </is>
      </c>
      <c r="D25" s="18" t="inlineStr">
        <is>
          <t>MC1-002</t>
        </is>
      </c>
      <c r="E25" s="20" t="inlineStr">
        <is>
          <t>(2동)Y01열골구도, (2동)Y03,Y05열골구도</t>
        </is>
      </c>
      <c r="F25" s="22" t="inlineStr">
        <is>
          <t>골구도</t>
        </is>
      </c>
      <c r="G25" s="21" t="n">
        <v>6000</v>
      </c>
      <c r="H25" s="23" t="inlineStr">
        <is>
          <t>골구도 수직선 GL~상단 = 4700+1300 = 6000 (보 레벨 분할 치수 합산)</t>
        </is>
      </c>
      <c r="I25" s="21" t="n"/>
      <c r="J25" s="21" t="n"/>
      <c r="K25" s="21" t="inlineStr">
        <is>
          <t>high</t>
        </is>
      </c>
      <c r="L25" s="41" t="inlineStr">
        <is>
          <t>MC1 규격: H-400x200x8/13</t>
        </is>
      </c>
    </row>
    <row r="26" ht="25" customHeight="1">
      <c r="A26" s="17" t="inlineStr">
        <is>
          <t>도면1</t>
        </is>
      </c>
      <c r="B26" s="18" t="inlineStr">
        <is>
          <t>2동</t>
        </is>
      </c>
      <c r="C26" s="19" t="inlineStr">
        <is>
          <t>MC1</t>
        </is>
      </c>
      <c r="D26" s="18" t="inlineStr">
        <is>
          <t>MC1-003</t>
        </is>
      </c>
      <c r="E26" s="20" t="inlineStr">
        <is>
          <t>(2동)Y01열골구도, (2동)Y03,Y05열골구도</t>
        </is>
      </c>
      <c r="F26" s="22" t="inlineStr">
        <is>
          <t>골구도</t>
        </is>
      </c>
      <c r="G26" s="21" t="n">
        <v>6000</v>
      </c>
      <c r="H26" s="23" t="inlineStr">
        <is>
          <t>골구도 수직선 GL~상단 = 4700+1300 = 6000 (보 레벨 분할 치수 합산)</t>
        </is>
      </c>
      <c r="I26" s="21" t="n"/>
      <c r="J26" s="21" t="n"/>
      <c r="K26" s="21" t="inlineStr">
        <is>
          <t>high</t>
        </is>
      </c>
      <c r="L26" s="41" t="inlineStr">
        <is>
          <t>MC1 규격: H-400x200x8/13</t>
        </is>
      </c>
    </row>
    <row r="27" ht="25" customHeight="1">
      <c r="A27" s="17" t="inlineStr">
        <is>
          <t>도면1</t>
        </is>
      </c>
      <c r="B27" s="18" t="inlineStr">
        <is>
          <t>2동</t>
        </is>
      </c>
      <c r="C27" s="19" t="inlineStr">
        <is>
          <t>MC1</t>
        </is>
      </c>
      <c r="D27" s="18" t="inlineStr">
        <is>
          <t>MC1-004</t>
        </is>
      </c>
      <c r="E27" s="20" t="inlineStr">
        <is>
          <t>(2동)Y01열골구도, (2동)Y03,Y05열골구도</t>
        </is>
      </c>
      <c r="F27" s="22" t="inlineStr">
        <is>
          <t>골구도</t>
        </is>
      </c>
      <c r="G27" s="21" t="n">
        <v>6000</v>
      </c>
      <c r="H27" s="23" t="inlineStr">
        <is>
          <t>골구도 수직선 GL~상단 = 4700+1300 = 6000 (보 레벨 분할 치수 합산)</t>
        </is>
      </c>
      <c r="I27" s="21" t="n"/>
      <c r="J27" s="21" t="n"/>
      <c r="K27" s="21" t="inlineStr">
        <is>
          <t>high</t>
        </is>
      </c>
      <c r="L27" s="41" t="inlineStr">
        <is>
          <t>MC1 규격: H-400x200x8/13</t>
        </is>
      </c>
    </row>
    <row r="28" ht="25" customHeight="1">
      <c r="A28" s="17" t="inlineStr">
        <is>
          <t>도면1</t>
        </is>
      </c>
      <c r="B28" s="18" t="inlineStr">
        <is>
          <t>2동</t>
        </is>
      </c>
      <c r="C28" s="19" t="inlineStr">
        <is>
          <t>MC1</t>
        </is>
      </c>
      <c r="D28" s="18" t="inlineStr">
        <is>
          <t>MC1-005</t>
        </is>
      </c>
      <c r="E28" s="20" t="inlineStr">
        <is>
          <t>(2동)Y01열골구도, (2동)Y03,Y05열골구도</t>
        </is>
      </c>
      <c r="F28" s="22" t="inlineStr">
        <is>
          <t>골구도</t>
        </is>
      </c>
      <c r="G28" s="21" t="n">
        <v>6000</v>
      </c>
      <c r="H28" s="23" t="inlineStr">
        <is>
          <t>골구도 수직선 GL~상단 = 4700+1300 = 6000 (보 레벨 분할 치수 합산)</t>
        </is>
      </c>
      <c r="I28" s="21" t="n"/>
      <c r="J28" s="21" t="n"/>
      <c r="K28" s="21" t="inlineStr">
        <is>
          <t>high</t>
        </is>
      </c>
      <c r="L28" s="41" t="inlineStr">
        <is>
          <t>MC1 규격: H-400x200x8/13</t>
        </is>
      </c>
    </row>
    <row r="29" ht="25" customHeight="1">
      <c r="A29" s="17" t="inlineStr">
        <is>
          <t>도면1</t>
        </is>
      </c>
      <c r="B29" s="18" t="inlineStr">
        <is>
          <t>2동</t>
        </is>
      </c>
      <c r="C29" s="19" t="inlineStr">
        <is>
          <t>MC1</t>
        </is>
      </c>
      <c r="D29" s="18" t="inlineStr">
        <is>
          <t>MC1-006</t>
        </is>
      </c>
      <c r="E29" s="20" t="inlineStr">
        <is>
          <t>(2동)Y01열골구도, (2동)Y03,Y05열골구도</t>
        </is>
      </c>
      <c r="F29" s="22" t="inlineStr">
        <is>
          <t>골구도</t>
        </is>
      </c>
      <c r="G29" s="21" t="n">
        <v>6000</v>
      </c>
      <c r="H29" s="23" t="inlineStr">
        <is>
          <t>골구도 수직선 GL~상단 = 4700+1300 = 6000 (보 레벨 분할 치수 합산)</t>
        </is>
      </c>
      <c r="I29" s="21" t="n"/>
      <c r="J29" s="21" t="n"/>
      <c r="K29" s="21" t="inlineStr">
        <is>
          <t>high</t>
        </is>
      </c>
      <c r="L29" s="41" t="inlineStr">
        <is>
          <t>MC1 규격: H-400x200x8/13</t>
        </is>
      </c>
    </row>
    <row r="30" ht="25" customHeight="1">
      <c r="A30" s="17" t="inlineStr">
        <is>
          <t>도면1</t>
        </is>
      </c>
      <c r="B30" s="18" t="inlineStr">
        <is>
          <t>2동</t>
        </is>
      </c>
      <c r="C30" s="19" t="inlineStr">
        <is>
          <t>MC1</t>
        </is>
      </c>
      <c r="D30" s="18" t="inlineStr">
        <is>
          <t>MC1-007</t>
        </is>
      </c>
      <c r="E30" s="20" t="inlineStr">
        <is>
          <t>(2동)Y01열골구도, (2동)Y03,Y05열골구도</t>
        </is>
      </c>
      <c r="F30" s="22" t="inlineStr">
        <is>
          <t>골구도</t>
        </is>
      </c>
      <c r="G30" s="21" t="n">
        <v>6000</v>
      </c>
      <c r="H30" s="23" t="inlineStr">
        <is>
          <t>골구도 수직선 GL~상단 = 4700+1300 = 6000 (보 레벨 분할 치수 합산)</t>
        </is>
      </c>
      <c r="I30" s="21" t="n"/>
      <c r="J30" s="21" t="n"/>
      <c r="K30" s="21" t="inlineStr">
        <is>
          <t>high</t>
        </is>
      </c>
      <c r="L30" s="41" t="inlineStr">
        <is>
          <t>MC1 규격: H-400x200x8/13</t>
        </is>
      </c>
    </row>
    <row r="31" ht="25" customHeight="1">
      <c r="A31" s="17" t="inlineStr">
        <is>
          <t>도면1</t>
        </is>
      </c>
      <c r="B31" s="18" t="inlineStr">
        <is>
          <t>2동</t>
        </is>
      </c>
      <c r="C31" s="19" t="inlineStr">
        <is>
          <t>MC1</t>
        </is>
      </c>
      <c r="D31" s="18" t="inlineStr">
        <is>
          <t>MC1-008</t>
        </is>
      </c>
      <c r="E31" s="20" t="inlineStr">
        <is>
          <t>(2동)Y01열골구도, (2동)Y03,Y05열골구도</t>
        </is>
      </c>
      <c r="F31" s="22" t="inlineStr">
        <is>
          <t>골구도</t>
        </is>
      </c>
      <c r="G31" s="21" t="n">
        <v>6000</v>
      </c>
      <c r="H31" s="23" t="inlineStr">
        <is>
          <t>골구도 수직선 GL~상단 = 4700+1300 = 6000 (보 레벨 분할 치수 합산)</t>
        </is>
      </c>
      <c r="I31" s="21" t="n"/>
      <c r="J31" s="21" t="n"/>
      <c r="K31" s="21" t="inlineStr">
        <is>
          <t>high</t>
        </is>
      </c>
      <c r="L31" s="41" t="inlineStr">
        <is>
          <t>MC1 규격: H-400x200x8/13</t>
        </is>
      </c>
    </row>
    <row r="32" ht="25" customHeight="1">
      <c r="A32" s="17" t="inlineStr">
        <is>
          <t>도면1</t>
        </is>
      </c>
      <c r="B32" s="18" t="inlineStr">
        <is>
          <t>2동</t>
        </is>
      </c>
      <c r="C32" s="19" t="inlineStr">
        <is>
          <t>MC1</t>
        </is>
      </c>
      <c r="D32" s="18" t="inlineStr">
        <is>
          <t>MC1-009</t>
        </is>
      </c>
      <c r="E32" s="20" t="inlineStr">
        <is>
          <t>(2동)Y01열골구도, (2동)Y03,Y05열골구도</t>
        </is>
      </c>
      <c r="F32" s="22" t="inlineStr">
        <is>
          <t>골구도</t>
        </is>
      </c>
      <c r="G32" s="21" t="n">
        <v>6000</v>
      </c>
      <c r="H32" s="23" t="inlineStr">
        <is>
          <t>골구도 수직선 GL~상단 = 4700+1300 = 6000 (보 레벨 분할 치수 합산)</t>
        </is>
      </c>
      <c r="I32" s="21" t="n"/>
      <c r="J32" s="21" t="n"/>
      <c r="K32" s="21" t="inlineStr">
        <is>
          <t>high</t>
        </is>
      </c>
      <c r="L32" s="41" t="inlineStr">
        <is>
          <t>MC1 규격: H-400x200x8/13</t>
        </is>
      </c>
    </row>
    <row r="33" ht="25" customHeight="1">
      <c r="A33" s="17" t="inlineStr">
        <is>
          <t>도면1</t>
        </is>
      </c>
      <c r="B33" s="18" t="inlineStr">
        <is>
          <t>2동</t>
        </is>
      </c>
      <c r="C33" s="19" t="inlineStr">
        <is>
          <t>MC1</t>
        </is>
      </c>
      <c r="D33" s="18" t="inlineStr">
        <is>
          <t>MC1-010</t>
        </is>
      </c>
      <c r="E33" s="20" t="inlineStr">
        <is>
          <t>(2동)Y01열골구도, (2동)Y03,Y05열골구도</t>
        </is>
      </c>
      <c r="F33" s="22" t="inlineStr">
        <is>
          <t>골구도</t>
        </is>
      </c>
      <c r="G33" s="21" t="n">
        <v>6000</v>
      </c>
      <c r="H33" s="23" t="inlineStr">
        <is>
          <t>골구도 수직선 GL~상단 = 4700+1300 = 6000 (보 레벨 분할 치수 합산)</t>
        </is>
      </c>
      <c r="I33" s="21" t="n"/>
      <c r="J33" s="21" t="n"/>
      <c r="K33" s="21" t="inlineStr">
        <is>
          <t>high</t>
        </is>
      </c>
      <c r="L33" s="41" t="inlineStr">
        <is>
          <t>MC1 규격: H-400x200x8/13</t>
        </is>
      </c>
    </row>
    <row r="34" ht="25" customHeight="1">
      <c r="A34" s="17" t="inlineStr">
        <is>
          <t>도면1</t>
        </is>
      </c>
      <c r="B34" s="18" t="inlineStr">
        <is>
          <t>2동</t>
        </is>
      </c>
      <c r="C34" s="19" t="inlineStr">
        <is>
          <t>MC1</t>
        </is>
      </c>
      <c r="D34" s="18" t="inlineStr">
        <is>
          <t>MC1-011</t>
        </is>
      </c>
      <c r="E34" s="20" t="inlineStr">
        <is>
          <t>(2동)Y01열골구도, (2동)Y03,Y05열골구도</t>
        </is>
      </c>
      <c r="F34" s="22" t="inlineStr">
        <is>
          <t>골구도</t>
        </is>
      </c>
      <c r="G34" s="21" t="n">
        <v>6000</v>
      </c>
      <c r="H34" s="23" t="inlineStr">
        <is>
          <t>골구도 수직선 GL~상단 = 4700+1300 = 6000 (보 레벨 분할 치수 합산)</t>
        </is>
      </c>
      <c r="I34" s="21" t="n"/>
      <c r="J34" s="21" t="n"/>
      <c r="K34" s="21" t="inlineStr">
        <is>
          <t>high</t>
        </is>
      </c>
      <c r="L34" s="41" t="inlineStr">
        <is>
          <t>MC1 규격: H-400x200x8/13</t>
        </is>
      </c>
    </row>
    <row r="35" ht="25" customHeight="1">
      <c r="A35" s="17" t="inlineStr">
        <is>
          <t>도면1</t>
        </is>
      </c>
      <c r="B35" s="18" t="inlineStr">
        <is>
          <t>2동</t>
        </is>
      </c>
      <c r="C35" s="19" t="inlineStr">
        <is>
          <t>MC1</t>
        </is>
      </c>
      <c r="D35" s="18" t="inlineStr">
        <is>
          <t>MC1-012</t>
        </is>
      </c>
      <c r="E35" s="20" t="inlineStr">
        <is>
          <t>(2동)Y01열골구도, (2동)Y03,Y05열골구도</t>
        </is>
      </c>
      <c r="F35" s="22" t="inlineStr">
        <is>
          <t>골구도</t>
        </is>
      </c>
      <c r="G35" s="21" t="n">
        <v>6000</v>
      </c>
      <c r="H35" s="23" t="inlineStr">
        <is>
          <t>골구도 수직선 GL~상단 = 4700+1300 = 6000 (보 레벨 분할 치수 합산)</t>
        </is>
      </c>
      <c r="I35" s="21" t="n"/>
      <c r="J35" s="21" t="n"/>
      <c r="K35" s="21" t="inlineStr">
        <is>
          <t>high</t>
        </is>
      </c>
      <c r="L35" s="41" t="inlineStr">
        <is>
          <t>MC1 규격: H-400x200x8/13</t>
        </is>
      </c>
    </row>
    <row r="36" ht="25" customHeight="1">
      <c r="A36" s="17" t="inlineStr">
        <is>
          <t>도면1</t>
        </is>
      </c>
      <c r="B36" s="18" t="inlineStr">
        <is>
          <t>2동</t>
        </is>
      </c>
      <c r="C36" s="19" t="inlineStr">
        <is>
          <t>MC1</t>
        </is>
      </c>
      <c r="D36" s="18" t="inlineStr">
        <is>
          <t>MC1-013</t>
        </is>
      </c>
      <c r="E36" s="20" t="inlineStr">
        <is>
          <t>(2동)Y01열골구도, (2동)Y03,Y05열골구도</t>
        </is>
      </c>
      <c r="F36" s="22" t="inlineStr">
        <is>
          <t>골구도</t>
        </is>
      </c>
      <c r="G36" s="21" t="n">
        <v>6000</v>
      </c>
      <c r="H36" s="23" t="inlineStr">
        <is>
          <t>골구도 수직선 GL~상단 = 4700+1300 = 6000 (보 레벨 분할 치수 합산)</t>
        </is>
      </c>
      <c r="I36" s="21" t="n"/>
      <c r="J36" s="21" t="n"/>
      <c r="K36" s="21" t="inlineStr">
        <is>
          <t>high</t>
        </is>
      </c>
      <c r="L36" s="41" t="inlineStr">
        <is>
          <t>MC1 규격: H-400x200x8/13</t>
        </is>
      </c>
    </row>
    <row r="37" ht="25" customHeight="1">
      <c r="A37" s="17" t="inlineStr">
        <is>
          <t>도면1</t>
        </is>
      </c>
      <c r="B37" s="18" t="inlineStr">
        <is>
          <t>2동</t>
        </is>
      </c>
      <c r="C37" s="19" t="inlineStr">
        <is>
          <t>MC1</t>
        </is>
      </c>
      <c r="D37" s="18" t="inlineStr">
        <is>
          <t>MC1-014</t>
        </is>
      </c>
      <c r="E37" s="20" t="inlineStr">
        <is>
          <t>(2동)Y01열골구도, (2동)Y03,Y05열골구도</t>
        </is>
      </c>
      <c r="F37" s="22" t="inlineStr">
        <is>
          <t>골구도</t>
        </is>
      </c>
      <c r="G37" s="21" t="n">
        <v>6000</v>
      </c>
      <c r="H37" s="23" t="inlineStr">
        <is>
          <t>골구도 수직선 GL~상단 = 4700+1300 = 6000 (보 레벨 분할 치수 합산)</t>
        </is>
      </c>
      <c r="I37" s="21" t="n"/>
      <c r="J37" s="21" t="n"/>
      <c r="K37" s="21" t="inlineStr">
        <is>
          <t>high</t>
        </is>
      </c>
      <c r="L37" s="41" t="inlineStr">
        <is>
          <t>MC1 규격: H-400x200x8/13</t>
        </is>
      </c>
    </row>
    <row r="38" ht="25" customHeight="1">
      <c r="A38" s="17" t="inlineStr">
        <is>
          <t>도면1</t>
        </is>
      </c>
      <c r="B38" s="18" t="inlineStr">
        <is>
          <t>2동</t>
        </is>
      </c>
      <c r="C38" s="19" t="inlineStr">
        <is>
          <t>MC1</t>
        </is>
      </c>
      <c r="D38" s="18" t="inlineStr">
        <is>
          <t>MC1-015</t>
        </is>
      </c>
      <c r="E38" s="20" t="inlineStr">
        <is>
          <t>(2동)Y01열골구도, (2동)Y03,Y05열골구도</t>
        </is>
      </c>
      <c r="F38" s="22" t="inlineStr">
        <is>
          <t>골구도</t>
        </is>
      </c>
      <c r="G38" s="21" t="n">
        <v>6000</v>
      </c>
      <c r="H38" s="23" t="inlineStr">
        <is>
          <t>골구도 수직선 GL~상단 = 4700+1300 = 6000 (보 레벨 분할 치수 합산)</t>
        </is>
      </c>
      <c r="I38" s="21" t="n"/>
      <c r="J38" s="21" t="n"/>
      <c r="K38" s="21" t="inlineStr">
        <is>
          <t>high</t>
        </is>
      </c>
      <c r="L38" s="41" t="inlineStr">
        <is>
          <t>MC1 규격: H-400x200x8/13</t>
        </is>
      </c>
    </row>
    <row r="39" ht="25" customHeight="1">
      <c r="A39" s="17" t="inlineStr">
        <is>
          <t>도면1</t>
        </is>
      </c>
      <c r="B39" s="18" t="inlineStr">
        <is>
          <t>2동</t>
        </is>
      </c>
      <c r="C39" s="19" t="inlineStr">
        <is>
          <t>MC2</t>
        </is>
      </c>
      <c r="D39" s="18" t="inlineStr">
        <is>
          <t>MC2-001</t>
        </is>
      </c>
      <c r="E39" s="20" t="inlineStr">
        <is>
          <t>(2동)Y01열골구도, (2동)Y03,Y05열골구도</t>
        </is>
      </c>
      <c r="F39" s="22" t="inlineStr">
        <is>
          <t>골구도</t>
        </is>
      </c>
      <c r="G39" s="21" t="n">
        <v>6000</v>
      </c>
      <c r="H39" s="23" t="inlineStr">
        <is>
          <t>골구도 수직선 GL~상단 = 6000 (전 기둥 동일 층고)</t>
        </is>
      </c>
      <c r="I39" s="21" t="n"/>
      <c r="J39" s="21" t="n"/>
      <c r="K39" s="21" t="inlineStr">
        <is>
          <t>high</t>
        </is>
      </c>
      <c r="L39" s="41" t="inlineStr">
        <is>
          <t>MC2 규격: H-440x300x11/18</t>
        </is>
      </c>
    </row>
    <row r="40" ht="25" customHeight="1">
      <c r="A40" s="17" t="inlineStr">
        <is>
          <t>도면1</t>
        </is>
      </c>
      <c r="B40" s="18" t="inlineStr">
        <is>
          <t>2동</t>
        </is>
      </c>
      <c r="C40" s="19" t="inlineStr">
        <is>
          <t>MC2</t>
        </is>
      </c>
      <c r="D40" s="18" t="inlineStr">
        <is>
          <t>MC2-002</t>
        </is>
      </c>
      <c r="E40" s="20" t="inlineStr">
        <is>
          <t>(2동)Y01열골구도, (2동)Y03,Y05열골구도</t>
        </is>
      </c>
      <c r="F40" s="22" t="inlineStr">
        <is>
          <t>골구도</t>
        </is>
      </c>
      <c r="G40" s="21" t="n">
        <v>6000</v>
      </c>
      <c r="H40" s="23" t="inlineStr">
        <is>
          <t>골구도 수직선 GL~상단 = 6000 (전 기둥 동일 층고)</t>
        </is>
      </c>
      <c r="I40" s="21" t="n"/>
      <c r="J40" s="21" t="n"/>
      <c r="K40" s="21" t="inlineStr">
        <is>
          <t>high</t>
        </is>
      </c>
      <c r="L40" s="41" t="inlineStr">
        <is>
          <t>MC2 규격: H-440x300x11/18</t>
        </is>
      </c>
    </row>
    <row r="41" ht="25" customHeight="1">
      <c r="A41" s="17" t="inlineStr">
        <is>
          <t>도면1</t>
        </is>
      </c>
      <c r="B41" s="18" t="inlineStr">
        <is>
          <t>2동</t>
        </is>
      </c>
      <c r="C41" s="19" t="inlineStr">
        <is>
          <t>MC2</t>
        </is>
      </c>
      <c r="D41" s="18" t="inlineStr">
        <is>
          <t>MC2-003</t>
        </is>
      </c>
      <c r="E41" s="20" t="inlineStr">
        <is>
          <t>(2동)Y01열골구도, (2동)Y03,Y05열골구도</t>
        </is>
      </c>
      <c r="F41" s="22" t="inlineStr">
        <is>
          <t>골구도</t>
        </is>
      </c>
      <c r="G41" s="21" t="n">
        <v>6000</v>
      </c>
      <c r="H41" s="23" t="inlineStr">
        <is>
          <t>골구도 수직선 GL~상단 = 6000 (전 기둥 동일 층고)</t>
        </is>
      </c>
      <c r="I41" s="21" t="n"/>
      <c r="J41" s="21" t="n"/>
      <c r="K41" s="21" t="inlineStr">
        <is>
          <t>high</t>
        </is>
      </c>
      <c r="L41" s="41" t="inlineStr">
        <is>
          <t>MC2 규격: H-440x300x11/18</t>
        </is>
      </c>
    </row>
    <row r="42" ht="25" customHeight="1">
      <c r="A42" s="17" t="inlineStr">
        <is>
          <t>도면1</t>
        </is>
      </c>
      <c r="B42" s="18" t="inlineStr">
        <is>
          <t>2동</t>
        </is>
      </c>
      <c r="C42" s="19" t="inlineStr">
        <is>
          <t>MC2</t>
        </is>
      </c>
      <c r="D42" s="18" t="inlineStr">
        <is>
          <t>MC2-004</t>
        </is>
      </c>
      <c r="E42" s="20" t="inlineStr">
        <is>
          <t>(2동)Y01열골구도, (2동)Y03,Y05열골구도</t>
        </is>
      </c>
      <c r="F42" s="22" t="inlineStr">
        <is>
          <t>골구도</t>
        </is>
      </c>
      <c r="G42" s="21" t="n">
        <v>6000</v>
      </c>
      <c r="H42" s="23" t="inlineStr">
        <is>
          <t>골구도 수직선 GL~상단 = 6000 (전 기둥 동일 층고)</t>
        </is>
      </c>
      <c r="I42" s="21" t="n"/>
      <c r="J42" s="21" t="n"/>
      <c r="K42" s="21" t="inlineStr">
        <is>
          <t>high</t>
        </is>
      </c>
      <c r="L42" s="41" t="inlineStr">
        <is>
          <t>MC2 규격: H-440x300x11/18</t>
        </is>
      </c>
    </row>
    <row r="43" ht="25" customHeight="1">
      <c r="A43" s="17" t="inlineStr">
        <is>
          <t>도면1</t>
        </is>
      </c>
      <c r="B43" s="18" t="inlineStr">
        <is>
          <t>2동</t>
        </is>
      </c>
      <c r="C43" s="19" t="inlineStr">
        <is>
          <t>MC3</t>
        </is>
      </c>
      <c r="D43" s="18" t="inlineStr">
        <is>
          <t>MC3-001</t>
        </is>
      </c>
      <c r="E43" s="20" t="inlineStr">
        <is>
          <t>(2동)Y03,Y05열골구도</t>
        </is>
      </c>
      <c r="F43" s="22" t="inlineStr">
        <is>
          <t>골구도</t>
        </is>
      </c>
      <c r="G43" s="21" t="n">
        <v>6000</v>
      </c>
      <c r="H43" s="23" t="inlineStr">
        <is>
          <t>골구도 수직선 GL~상단 = 6000 (전 기둥 동일 층고)</t>
        </is>
      </c>
      <c r="I43" s="21" t="n"/>
      <c r="J43" s="21" t="n"/>
      <c r="K43" s="21" t="inlineStr">
        <is>
          <t>medium</t>
        </is>
      </c>
      <c r="L43" s="41" t="inlineStr">
        <is>
          <t>MC3 규격: H-250x250x9x14</t>
        </is>
      </c>
    </row>
    <row r="44" ht="25" customHeight="1">
      <c r="A44" s="17" t="inlineStr">
        <is>
          <t>도면1</t>
        </is>
      </c>
      <c r="B44" s="18" t="inlineStr">
        <is>
          <t>2동</t>
        </is>
      </c>
      <c r="C44" s="19" t="inlineStr">
        <is>
          <t>MC3</t>
        </is>
      </c>
      <c r="D44" s="18" t="inlineStr">
        <is>
          <t>MC3-002</t>
        </is>
      </c>
      <c r="E44" s="20" t="inlineStr">
        <is>
          <t>(2동)Y03,Y05열골구도</t>
        </is>
      </c>
      <c r="F44" s="22" t="inlineStr">
        <is>
          <t>골구도</t>
        </is>
      </c>
      <c r="G44" s="21" t="n">
        <v>6000</v>
      </c>
      <c r="H44" s="23" t="inlineStr">
        <is>
          <t>골구도 수직선 GL~상단 = 6000 (전 기둥 동일 층고)</t>
        </is>
      </c>
      <c r="I44" s="21" t="n"/>
      <c r="J44" s="21" t="n"/>
      <c r="K44" s="21" t="inlineStr">
        <is>
          <t>medium</t>
        </is>
      </c>
      <c r="L44" s="41" t="inlineStr">
        <is>
          <t>MC3 규격: H-250x250x9x14</t>
        </is>
      </c>
    </row>
    <row r="45" ht="25" customHeight="1">
      <c r="A45" s="17" t="inlineStr">
        <is>
          <t>도면1</t>
        </is>
      </c>
      <c r="B45" s="18" t="inlineStr">
        <is>
          <t>2동</t>
        </is>
      </c>
      <c r="C45" s="19" t="inlineStr">
        <is>
          <t>SC1</t>
        </is>
      </c>
      <c r="D45" s="18" t="inlineStr">
        <is>
          <t>SC1-001</t>
        </is>
      </c>
      <c r="E45" s="20" t="inlineStr">
        <is>
          <t>(2동)Y01열골구도, (2동)Y03,Y05열골구도</t>
        </is>
      </c>
      <c r="F45" s="22" t="inlineStr">
        <is>
          <t>골구도</t>
        </is>
      </c>
      <c r="G45" s="21" t="n">
        <v>6000</v>
      </c>
      <c r="H45" s="23" t="inlineStr">
        <is>
          <t>골구도 수직선 GL~상단 = 6000 (전 기둥 동일 층고)</t>
        </is>
      </c>
      <c r="I45" s="21" t="n"/>
      <c r="J45" s="21" t="n"/>
      <c r="K45" s="21" t="inlineStr">
        <is>
          <t>high</t>
        </is>
      </c>
      <c r="L45" s="41" t="inlineStr">
        <is>
          <t>SC1 규격: H-300x150x6.5/9</t>
        </is>
      </c>
    </row>
    <row r="46" ht="25" customHeight="1">
      <c r="A46" s="17" t="inlineStr">
        <is>
          <t>도면1</t>
        </is>
      </c>
      <c r="B46" s="18" t="inlineStr">
        <is>
          <t>2동</t>
        </is>
      </c>
      <c r="C46" s="19" t="inlineStr">
        <is>
          <t>SC1</t>
        </is>
      </c>
      <c r="D46" s="18" t="inlineStr">
        <is>
          <t>SC1-002</t>
        </is>
      </c>
      <c r="E46" s="20" t="inlineStr">
        <is>
          <t>(2동)Y01열골구도, (2동)Y03,Y05열골구도</t>
        </is>
      </c>
      <c r="F46" s="22" t="inlineStr">
        <is>
          <t>골구도</t>
        </is>
      </c>
      <c r="G46" s="21" t="n">
        <v>6000</v>
      </c>
      <c r="H46" s="23" t="inlineStr">
        <is>
          <t>골구도 수직선 GL~상단 = 6000 (전 기둥 동일 층고)</t>
        </is>
      </c>
      <c r="I46" s="21" t="n"/>
      <c r="J46" s="21" t="n"/>
      <c r="K46" s="21" t="inlineStr">
        <is>
          <t>high</t>
        </is>
      </c>
      <c r="L46" s="41" t="inlineStr">
        <is>
          <t>SC1 규격: H-300x150x6.5/9</t>
        </is>
      </c>
    </row>
    <row r="47" ht="25" customHeight="1">
      <c r="A47" s="17" t="inlineStr">
        <is>
          <t>도면1</t>
        </is>
      </c>
      <c r="B47" s="18" t="inlineStr">
        <is>
          <t>2동</t>
        </is>
      </c>
      <c r="C47" s="19" t="inlineStr">
        <is>
          <t>SC1</t>
        </is>
      </c>
      <c r="D47" s="18" t="inlineStr">
        <is>
          <t>SC1-003</t>
        </is>
      </c>
      <c r="E47" s="20" t="inlineStr">
        <is>
          <t>(2동)Y01열골구도, (2동)Y03,Y05열골구도</t>
        </is>
      </c>
      <c r="F47" s="22" t="inlineStr">
        <is>
          <t>골구도</t>
        </is>
      </c>
      <c r="G47" s="21" t="n">
        <v>6000</v>
      </c>
      <c r="H47" s="23" t="inlineStr">
        <is>
          <t>골구도 수직선 GL~상단 = 6000 (전 기둥 동일 층고)</t>
        </is>
      </c>
      <c r="I47" s="21" t="n"/>
      <c r="J47" s="21" t="n"/>
      <c r="K47" s="21" t="inlineStr">
        <is>
          <t>high</t>
        </is>
      </c>
      <c r="L47" s="41" t="inlineStr">
        <is>
          <t>SC1 규격: H-300x150x6.5/9</t>
        </is>
      </c>
    </row>
    <row r="48" ht="25" customHeight="1">
      <c r="A48" s="17" t="inlineStr">
        <is>
          <t>도면1</t>
        </is>
      </c>
      <c r="B48" s="18" t="inlineStr">
        <is>
          <t>2동</t>
        </is>
      </c>
      <c r="C48" s="19" t="inlineStr">
        <is>
          <t>SC1</t>
        </is>
      </c>
      <c r="D48" s="18" t="inlineStr">
        <is>
          <t>SC1-004</t>
        </is>
      </c>
      <c r="E48" s="20" t="inlineStr">
        <is>
          <t>(2동)Y01열골구도, (2동)Y03,Y05열골구도</t>
        </is>
      </c>
      <c r="F48" s="22" t="inlineStr">
        <is>
          <t>골구도</t>
        </is>
      </c>
      <c r="G48" s="21" t="n">
        <v>6000</v>
      </c>
      <c r="H48" s="23" t="inlineStr">
        <is>
          <t>골구도 수직선 GL~상단 = 6000 (전 기둥 동일 층고)</t>
        </is>
      </c>
      <c r="I48" s="21" t="n"/>
      <c r="J48" s="21" t="n"/>
      <c r="K48" s="21" t="inlineStr">
        <is>
          <t>high</t>
        </is>
      </c>
      <c r="L48" s="41" t="inlineStr">
        <is>
          <t>SC1 규격: H-300x150x6.5/9</t>
        </is>
      </c>
    </row>
    <row r="49"/>
    <row r="50"/>
    <row r="51">
      <c r="A51" s="24" t="inlineStr">
        <is>
          <t>── 부호별 요약 (자동) ──</t>
        </is>
      </c>
    </row>
    <row r="52" ht="26" customHeight="1">
      <c r="A52" s="28" t="inlineStr">
        <is>
          <t>부호</t>
        </is>
      </c>
      <c r="B52" s="28" t="inlineStr">
        <is>
          <t>행 수</t>
        </is>
      </c>
      <c r="C52" s="28" t="inlineStr">
        <is>
          <t>총 길이(mm)</t>
        </is>
      </c>
      <c r="D52" s="28" t="inlineStr">
        <is>
          <t>평균 길이(mm)</t>
        </is>
      </c>
    </row>
    <row r="53">
      <c r="A53" s="35" t="inlineStr">
        <is>
          <t>MC1</t>
        </is>
      </c>
      <c r="B53" s="36">
        <f>COUNTIF(C2:C48,A53)</f>
        <v/>
      </c>
      <c r="C53" s="36">
        <f>SUMIF(C2:C48,A53,G2:G48)</f>
        <v/>
      </c>
      <c r="D53" s="36">
        <f>IFERROR(AVERAGEIF(C2:C48,A53,G2:G48),"-")</f>
        <v/>
      </c>
    </row>
    <row r="54">
      <c r="A54" s="35" t="inlineStr">
        <is>
          <t>MC2</t>
        </is>
      </c>
      <c r="B54" s="36">
        <f>COUNTIF(C2:C48,A54)</f>
        <v/>
      </c>
      <c r="C54" s="36">
        <f>SUMIF(C2:C48,A54,G2:G48)</f>
        <v/>
      </c>
      <c r="D54" s="36">
        <f>IFERROR(AVERAGEIF(C2:C48,A54,G2:G48),"-")</f>
        <v/>
      </c>
    </row>
    <row r="55">
      <c r="A55" s="35" t="inlineStr">
        <is>
          <t>MC3</t>
        </is>
      </c>
      <c r="B55" s="36">
        <f>COUNTIF(C2:C48,A55)</f>
        <v/>
      </c>
      <c r="C55" s="36">
        <f>SUMIF(C2:C48,A55,G2:G48)</f>
        <v/>
      </c>
      <c r="D55" s="36">
        <f>IFERROR(AVERAGEIF(C2:C48,A55,G2:G48),"-")</f>
        <v/>
      </c>
    </row>
    <row r="56">
      <c r="A56" s="35" t="inlineStr">
        <is>
          <t>SC1</t>
        </is>
      </c>
      <c r="B56" s="36">
        <f>COUNTIF(C2:C48,A56)</f>
        <v/>
      </c>
      <c r="C56" s="36">
        <f>SUMIF(C2:C48,A56,G2:G48)</f>
        <v/>
      </c>
      <c r="D56" s="36">
        <f>IFERROR(AVERAGEIF(C2:C48,A56,G2:G48),"-")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</cols>
  <sheetData>
    <row r="1" ht="31.5" customHeight="1">
      <c r="A1" s="6" t="inlineStr">
        <is>
          <t>도면</t>
        </is>
      </c>
      <c r="B1" s="6" t="inlineStr">
        <is>
          <t>동·구역</t>
        </is>
      </c>
      <c r="C1" s="6" t="inlineStr">
        <is>
          <t>부호</t>
        </is>
      </c>
      <c r="D1" s="6" t="inlineStr">
        <is>
          <t>인스턴스ID</t>
        </is>
      </c>
      <c r="E1" s="6" t="inlineStr">
        <is>
          <t>측정 소스 도면</t>
        </is>
      </c>
      <c r="F1" s="6" t="inlineStr">
        <is>
          <t>도면 종류</t>
        </is>
      </c>
      <c r="G1" s="6" t="inlineStr">
        <is>
          <t>길이(mm)</t>
        </is>
      </c>
      <c r="H1" s="6" t="inlineStr">
        <is>
          <t>측정 근거</t>
        </is>
      </c>
      <c r="I1" s="6" t="inlineStr">
        <is>
          <t>참조좌표 X</t>
        </is>
      </c>
      <c r="J1" s="6" t="inlineStr">
        <is>
          <t>참조좌표 Y</t>
        </is>
      </c>
      <c r="K1" s="6" t="inlineStr">
        <is>
          <t>신뢰도</t>
        </is>
      </c>
      <c r="L1" s="6" t="inlineStr">
        <is>
          <t>비고</t>
        </is>
      </c>
    </row>
    <row r="2">
      <c r="A2" s="7" t="inlineStr">
        <is>
          <t>도면1</t>
        </is>
      </c>
      <c r="B2" s="8" t="n"/>
      <c r="C2" s="9" t="inlineStr">
        <is>
          <t>SG1</t>
        </is>
      </c>
      <c r="D2" s="8" t="inlineStr">
        <is>
          <t>SG1-001</t>
        </is>
      </c>
      <c r="E2" s="10" t="n"/>
      <c r="F2" s="11" t="n"/>
      <c r="G2" s="11" t="n"/>
      <c r="H2" s="10" t="n"/>
      <c r="I2" s="11" t="n"/>
      <c r="J2" s="11" t="n"/>
      <c r="K2" s="11" t="n"/>
      <c r="L2" s="10" t="n"/>
    </row>
    <row r="3">
      <c r="A3" s="7" t="inlineStr">
        <is>
          <t>도면1</t>
        </is>
      </c>
      <c r="B3" s="8" t="n"/>
      <c r="C3" s="9" t="inlineStr">
        <is>
          <t>SG2</t>
        </is>
      </c>
      <c r="D3" s="8" t="inlineStr">
        <is>
          <t>SG2-001</t>
        </is>
      </c>
      <c r="E3" s="10" t="n"/>
      <c r="F3" s="11" t="n"/>
      <c r="G3" s="11" t="n"/>
      <c r="H3" s="10" t="n"/>
      <c r="I3" s="11" t="n"/>
      <c r="J3" s="11" t="n"/>
      <c r="K3" s="11" t="n"/>
      <c r="L3" s="10" t="n"/>
    </row>
    <row r="4">
      <c r="A4" s="7" t="inlineStr">
        <is>
          <t>도면1</t>
        </is>
      </c>
      <c r="B4" s="8" t="n"/>
      <c r="C4" s="9" t="inlineStr">
        <is>
          <t>SG3</t>
        </is>
      </c>
      <c r="D4" s="8" t="inlineStr">
        <is>
          <t>SG3-001</t>
        </is>
      </c>
      <c r="E4" s="10" t="n"/>
      <c r="F4" s="11" t="n"/>
      <c r="G4" s="11" t="n"/>
      <c r="H4" s="10" t="n"/>
      <c r="I4" s="11" t="n"/>
      <c r="J4" s="11" t="n"/>
      <c r="K4" s="11" t="n"/>
      <c r="L4" s="10" t="n"/>
    </row>
    <row r="5">
      <c r="A5" s="7" t="inlineStr">
        <is>
          <t>도면1</t>
        </is>
      </c>
      <c r="B5" s="8" t="n"/>
      <c r="C5" s="9" t="inlineStr">
        <is>
          <t>SB1</t>
        </is>
      </c>
      <c r="D5" s="8" t="inlineStr">
        <is>
          <t>SB1-001</t>
        </is>
      </c>
      <c r="E5" s="10" t="n"/>
      <c r="F5" s="11" t="n"/>
      <c r="G5" s="11" t="n"/>
      <c r="H5" s="10" t="n"/>
      <c r="I5" s="11" t="n"/>
      <c r="J5" s="11" t="n"/>
      <c r="K5" s="11" t="n"/>
      <c r="L5" s="10" t="n"/>
    </row>
    <row r="6">
      <c r="A6" s="7" t="inlineStr">
        <is>
          <t>도면1</t>
        </is>
      </c>
      <c r="B6" s="8" t="n"/>
      <c r="C6" s="9" t="inlineStr">
        <is>
          <t>SB2</t>
        </is>
      </c>
      <c r="D6" s="8" t="inlineStr">
        <is>
          <t>SB2-001</t>
        </is>
      </c>
      <c r="E6" s="10" t="n"/>
      <c r="F6" s="11" t="n"/>
      <c r="G6" s="11" t="n"/>
      <c r="H6" s="10" t="n"/>
      <c r="I6" s="11" t="n"/>
      <c r="J6" s="11" t="n"/>
      <c r="K6" s="11" t="n"/>
      <c r="L6" s="10" t="n"/>
    </row>
    <row r="7">
      <c r="A7" s="7" t="inlineStr">
        <is>
          <t>도면1</t>
        </is>
      </c>
      <c r="B7" s="8" t="n"/>
      <c r="C7" s="9" t="inlineStr">
        <is>
          <t>SB3</t>
        </is>
      </c>
      <c r="D7" s="8" t="inlineStr">
        <is>
          <t>SB3-001</t>
        </is>
      </c>
      <c r="E7" s="10" t="n"/>
      <c r="F7" s="11" t="n"/>
      <c r="G7" s="11" t="n"/>
      <c r="H7" s="10" t="n"/>
      <c r="I7" s="11" t="n"/>
      <c r="J7" s="11" t="n"/>
      <c r="K7" s="11" t="n"/>
      <c r="L7" s="10" t="n"/>
    </row>
    <row r="8">
      <c r="A8" s="7" t="inlineStr">
        <is>
          <t>도면1</t>
        </is>
      </c>
      <c r="B8" s="8" t="n"/>
      <c r="C8" s="9" t="inlineStr">
        <is>
          <t>RSG1</t>
        </is>
      </c>
      <c r="D8" s="8" t="inlineStr">
        <is>
          <t>RSG1-001</t>
        </is>
      </c>
      <c r="E8" s="10" t="n"/>
      <c r="F8" s="11" t="n"/>
      <c r="G8" s="11" t="n"/>
      <c r="H8" s="10" t="n"/>
      <c r="I8" s="11" t="n"/>
      <c r="J8" s="11" t="n"/>
      <c r="K8" s="11" t="n"/>
      <c r="L8" s="10" t="n"/>
    </row>
    <row r="9">
      <c r="A9" s="7" t="inlineStr">
        <is>
          <t>도면1</t>
        </is>
      </c>
      <c r="B9" s="8" t="n"/>
      <c r="C9" s="9" t="inlineStr">
        <is>
          <t>RSG2</t>
        </is>
      </c>
      <c r="D9" s="8" t="inlineStr">
        <is>
          <t>RSG2-001</t>
        </is>
      </c>
      <c r="E9" s="10" t="n"/>
      <c r="F9" s="11" t="n"/>
      <c r="G9" s="11" t="n"/>
      <c r="H9" s="10" t="n"/>
      <c r="I9" s="11" t="n"/>
      <c r="J9" s="11" t="n"/>
      <c r="K9" s="11" t="n"/>
      <c r="L9" s="10" t="n"/>
    </row>
    <row r="10">
      <c r="A10" s="7" t="inlineStr">
        <is>
          <t>도면1</t>
        </is>
      </c>
      <c r="B10" s="8" t="n"/>
      <c r="C10" s="9" t="inlineStr">
        <is>
          <t>RSG3</t>
        </is>
      </c>
      <c r="D10" s="8" t="inlineStr">
        <is>
          <t>RSG3-001</t>
        </is>
      </c>
      <c r="E10" s="10" t="n"/>
      <c r="F10" s="11" t="n"/>
      <c r="G10" s="11" t="n"/>
      <c r="H10" s="10" t="n"/>
      <c r="I10" s="11" t="n"/>
      <c r="J10" s="11" t="n"/>
      <c r="K10" s="11" t="n"/>
      <c r="L10" s="10" t="n"/>
    </row>
    <row r="11">
      <c r="A11" s="7" t="inlineStr">
        <is>
          <t>도면1</t>
        </is>
      </c>
      <c r="B11" s="8" t="n"/>
      <c r="C11" s="9" t="inlineStr">
        <is>
          <t>RSB1</t>
        </is>
      </c>
      <c r="D11" s="8" t="inlineStr">
        <is>
          <t>RSB1-001</t>
        </is>
      </c>
      <c r="E11" s="10" t="n"/>
      <c r="F11" s="11" t="n"/>
      <c r="G11" s="11" t="n"/>
      <c r="H11" s="10" t="n"/>
      <c r="I11" s="11" t="n"/>
      <c r="J11" s="11" t="n"/>
      <c r="K11" s="11" t="n"/>
      <c r="L11" s="10" t="n"/>
    </row>
    <row r="12">
      <c r="A12" s="7" t="inlineStr">
        <is>
          <t>도면1</t>
        </is>
      </c>
      <c r="B12" s="8" t="n"/>
      <c r="C12" s="9" t="inlineStr">
        <is>
          <t>RSB2</t>
        </is>
      </c>
      <c r="D12" s="8" t="inlineStr">
        <is>
          <t>RSB2-001</t>
        </is>
      </c>
      <c r="E12" s="10" t="n"/>
      <c r="F12" s="11" t="n"/>
      <c r="G12" s="11" t="n"/>
      <c r="H12" s="10" t="n"/>
      <c r="I12" s="11" t="n"/>
      <c r="J12" s="11" t="n"/>
      <c r="K12" s="11" t="n"/>
      <c r="L12" s="10" t="n"/>
    </row>
    <row r="13">
      <c r="A13" s="7" t="inlineStr">
        <is>
          <t>도면1</t>
        </is>
      </c>
      <c r="B13" s="8" t="n"/>
      <c r="C13" s="9" t="inlineStr">
        <is>
          <t>RSB3</t>
        </is>
      </c>
      <c r="D13" s="8" t="inlineStr">
        <is>
          <t>RSB3-001</t>
        </is>
      </c>
      <c r="E13" s="10" t="n"/>
      <c r="F13" s="11" t="n"/>
      <c r="G13" s="11" t="n"/>
      <c r="H13" s="10" t="n"/>
      <c r="I13" s="11" t="n"/>
      <c r="J13" s="11" t="n"/>
      <c r="K13" s="11" t="n"/>
      <c r="L13" s="10" t="n"/>
    </row>
    <row r="14">
      <c r="A14" s="7" t="inlineStr">
        <is>
          <t>도면1</t>
        </is>
      </c>
      <c r="B14" s="8" t="n"/>
      <c r="C14" s="9" t="inlineStr">
        <is>
          <t>MT1</t>
        </is>
      </c>
      <c r="D14" s="8" t="inlineStr">
        <is>
          <t>MT1-001</t>
        </is>
      </c>
      <c r="E14" s="10" t="n"/>
      <c r="F14" s="11" t="n"/>
      <c r="G14" s="11" t="n"/>
      <c r="H14" s="10" t="n"/>
      <c r="I14" s="11" t="n"/>
      <c r="J14" s="11" t="n"/>
      <c r="K14" s="11" t="n"/>
      <c r="L14" s="10" t="n"/>
    </row>
    <row r="15">
      <c r="A15" s="7" t="inlineStr">
        <is>
          <t>도면1</t>
        </is>
      </c>
      <c r="B15" s="8" t="n"/>
      <c r="C15" s="9" t="inlineStr">
        <is>
          <t>VG1</t>
        </is>
      </c>
      <c r="D15" s="8" t="inlineStr">
        <is>
          <t>VG1-001</t>
        </is>
      </c>
      <c r="E15" s="10" t="n"/>
      <c r="F15" s="11" t="n"/>
      <c r="G15" s="11" t="n"/>
      <c r="H15" s="10" t="n"/>
      <c r="I15" s="11" t="n"/>
      <c r="J15" s="11" t="n"/>
      <c r="K15" s="11" t="n"/>
      <c r="L15" s="10" t="n"/>
    </row>
    <row r="16">
      <c r="A16" s="7" t="inlineStr">
        <is>
          <t>도면1</t>
        </is>
      </c>
      <c r="B16" s="8" t="n"/>
      <c r="C16" s="9" t="inlineStr">
        <is>
          <t>VT1</t>
        </is>
      </c>
      <c r="D16" s="8" t="inlineStr">
        <is>
          <t>VT1-001</t>
        </is>
      </c>
      <c r="E16" s="10" t="n"/>
      <c r="F16" s="11" t="n"/>
      <c r="G16" s="11" t="n"/>
      <c r="H16" s="10" t="n"/>
      <c r="I16" s="11" t="n"/>
      <c r="J16" s="11" t="n"/>
      <c r="K16" s="11" t="n"/>
      <c r="L16" s="10" t="n"/>
    </row>
    <row r="17">
      <c r="A17" s="7" t="inlineStr">
        <is>
          <t>도면1</t>
        </is>
      </c>
      <c r="B17" s="8" t="n"/>
      <c r="C17" s="9" t="inlineStr">
        <is>
          <t>WG1</t>
        </is>
      </c>
      <c r="D17" s="8" t="inlineStr">
        <is>
          <t>WG1-001</t>
        </is>
      </c>
      <c r="E17" s="10" t="n"/>
      <c r="F17" s="11" t="n"/>
      <c r="G17" s="11" t="n"/>
      <c r="H17" s="10" t="n"/>
      <c r="I17" s="11" t="n"/>
      <c r="J17" s="11" t="n"/>
      <c r="K17" s="11" t="n"/>
      <c r="L17" s="10" t="n"/>
    </row>
    <row r="18">
      <c r="A18" s="7" t="inlineStr">
        <is>
          <t>도면1</t>
        </is>
      </c>
      <c r="B18" s="8" t="n"/>
      <c r="C18" s="9" t="inlineStr">
        <is>
          <t>CRG1</t>
        </is>
      </c>
      <c r="D18" s="8" t="inlineStr">
        <is>
          <t>CRG1-001</t>
        </is>
      </c>
      <c r="E18" s="10" t="n"/>
      <c r="F18" s="11" t="n"/>
      <c r="G18" s="11" t="n"/>
      <c r="H18" s="10" t="n"/>
      <c r="I18" s="11" t="n"/>
      <c r="J18" s="11" t="n"/>
      <c r="K18" s="11" t="n"/>
      <c r="L18" s="10" t="n"/>
    </row>
    <row r="19">
      <c r="A19" s="7" t="inlineStr">
        <is>
          <t>도면1</t>
        </is>
      </c>
      <c r="B19" s="8" t="n"/>
      <c r="C19" s="9" t="inlineStr">
        <is>
          <t>BR2</t>
        </is>
      </c>
      <c r="D19" s="8" t="inlineStr">
        <is>
          <t>BR2-001</t>
        </is>
      </c>
      <c r="E19" s="10" t="n"/>
      <c r="F19" s="11" t="n"/>
      <c r="G19" s="11" t="n"/>
      <c r="H19" s="10" t="n"/>
      <c r="I19" s="11" t="n"/>
      <c r="J19" s="11" t="n"/>
      <c r="K19" s="11" t="n"/>
      <c r="L19" s="10" t="n"/>
    </row>
    <row r="22">
      <c r="A22" s="12" t="inlineStr">
        <is>
          <t>── 부호별 요약 (자동) ──</t>
        </is>
      </c>
    </row>
    <row r="23" ht="26" customHeight="1">
      <c r="A23" s="6" t="inlineStr">
        <is>
          <t>부호</t>
        </is>
      </c>
      <c r="B23" s="6" t="inlineStr">
        <is>
          <t>행 수</t>
        </is>
      </c>
      <c r="C23" s="6" t="inlineStr">
        <is>
          <t>총 길이(mm)</t>
        </is>
      </c>
      <c r="D23" s="6" t="inlineStr">
        <is>
          <t>평균 길이(mm)</t>
        </is>
      </c>
    </row>
    <row r="24">
      <c r="A24" s="8" t="inlineStr">
        <is>
          <t>SG1</t>
        </is>
      </c>
      <c r="B24" s="13">
        <f>COUNTIF(C2:C19,A24)</f>
        <v/>
      </c>
      <c r="C24" s="13">
        <f>SUMIF(C2:C19,A24,G2:G19)</f>
        <v/>
      </c>
      <c r="D24" s="13">
        <f>IFERROR(AVERAGEIF(C2:C19,A24,G2:G19),"-")</f>
        <v/>
      </c>
    </row>
    <row r="25">
      <c r="A25" s="8" t="inlineStr">
        <is>
          <t>SG2</t>
        </is>
      </c>
      <c r="B25" s="13">
        <f>COUNTIF(C2:C19,A25)</f>
        <v/>
      </c>
      <c r="C25" s="13">
        <f>SUMIF(C2:C19,A25,G2:G19)</f>
        <v/>
      </c>
      <c r="D25" s="13">
        <f>IFERROR(AVERAGEIF(C2:C19,A25,G2:G19),"-")</f>
        <v/>
      </c>
    </row>
    <row r="26">
      <c r="A26" s="8" t="inlineStr">
        <is>
          <t>SG3</t>
        </is>
      </c>
      <c r="B26" s="13">
        <f>COUNTIF(C2:C19,A26)</f>
        <v/>
      </c>
      <c r="C26" s="13">
        <f>SUMIF(C2:C19,A26,G2:G19)</f>
        <v/>
      </c>
      <c r="D26" s="13">
        <f>IFERROR(AVERAGEIF(C2:C19,A26,G2:G19),"-")</f>
        <v/>
      </c>
    </row>
    <row r="27">
      <c r="A27" s="8" t="inlineStr">
        <is>
          <t>SB1</t>
        </is>
      </c>
      <c r="B27" s="13">
        <f>COUNTIF(C2:C19,A27)</f>
        <v/>
      </c>
      <c r="C27" s="13">
        <f>SUMIF(C2:C19,A27,G2:G19)</f>
        <v/>
      </c>
      <c r="D27" s="13">
        <f>IFERROR(AVERAGEIF(C2:C19,A27,G2:G19),"-")</f>
        <v/>
      </c>
    </row>
    <row r="28">
      <c r="A28" s="8" t="inlineStr">
        <is>
          <t>SB2</t>
        </is>
      </c>
      <c r="B28" s="13">
        <f>COUNTIF(C2:C19,A28)</f>
        <v/>
      </c>
      <c r="C28" s="13">
        <f>SUMIF(C2:C19,A28,G2:G19)</f>
        <v/>
      </c>
      <c r="D28" s="13">
        <f>IFERROR(AVERAGEIF(C2:C19,A28,G2:G19),"-")</f>
        <v/>
      </c>
    </row>
    <row r="29">
      <c r="A29" s="8" t="inlineStr">
        <is>
          <t>SB3</t>
        </is>
      </c>
      <c r="B29" s="13">
        <f>COUNTIF(C2:C19,A29)</f>
        <v/>
      </c>
      <c r="C29" s="13">
        <f>SUMIF(C2:C19,A29,G2:G19)</f>
        <v/>
      </c>
      <c r="D29" s="13">
        <f>IFERROR(AVERAGEIF(C2:C19,A29,G2:G19),"-")</f>
        <v/>
      </c>
    </row>
    <row r="30">
      <c r="A30" s="8" t="inlineStr">
        <is>
          <t>RSG1</t>
        </is>
      </c>
      <c r="B30" s="13">
        <f>COUNTIF(C2:C19,A30)</f>
        <v/>
      </c>
      <c r="C30" s="13">
        <f>SUMIF(C2:C19,A30,G2:G19)</f>
        <v/>
      </c>
      <c r="D30" s="13">
        <f>IFERROR(AVERAGEIF(C2:C19,A30,G2:G19),"-")</f>
        <v/>
      </c>
    </row>
    <row r="31">
      <c r="A31" s="8" t="inlineStr">
        <is>
          <t>RSG2</t>
        </is>
      </c>
      <c r="B31" s="13">
        <f>COUNTIF(C2:C19,A31)</f>
        <v/>
      </c>
      <c r="C31" s="13">
        <f>SUMIF(C2:C19,A31,G2:G19)</f>
        <v/>
      </c>
      <c r="D31" s="13">
        <f>IFERROR(AVERAGEIF(C2:C19,A31,G2:G19),"-")</f>
        <v/>
      </c>
    </row>
    <row r="32">
      <c r="A32" s="8" t="inlineStr">
        <is>
          <t>RSG3</t>
        </is>
      </c>
      <c r="B32" s="13">
        <f>COUNTIF(C2:C19,A32)</f>
        <v/>
      </c>
      <c r="C32" s="13">
        <f>SUMIF(C2:C19,A32,G2:G19)</f>
        <v/>
      </c>
      <c r="D32" s="13">
        <f>IFERROR(AVERAGEIF(C2:C19,A32,G2:G19),"-")</f>
        <v/>
      </c>
    </row>
    <row r="33">
      <c r="A33" s="8" t="inlineStr">
        <is>
          <t>RSB1</t>
        </is>
      </c>
      <c r="B33" s="13">
        <f>COUNTIF(C2:C19,A33)</f>
        <v/>
      </c>
      <c r="C33" s="13">
        <f>SUMIF(C2:C19,A33,G2:G19)</f>
        <v/>
      </c>
      <c r="D33" s="13">
        <f>IFERROR(AVERAGEIF(C2:C19,A33,G2:G19),"-")</f>
        <v/>
      </c>
    </row>
    <row r="34">
      <c r="A34" s="8" t="inlineStr">
        <is>
          <t>RSB2</t>
        </is>
      </c>
      <c r="B34" s="13">
        <f>COUNTIF(C2:C19,A34)</f>
        <v/>
      </c>
      <c r="C34" s="13">
        <f>SUMIF(C2:C19,A34,G2:G19)</f>
        <v/>
      </c>
      <c r="D34" s="13">
        <f>IFERROR(AVERAGEIF(C2:C19,A34,G2:G19),"-")</f>
        <v/>
      </c>
    </row>
    <row r="35">
      <c r="A35" s="8" t="inlineStr">
        <is>
          <t>RSB3</t>
        </is>
      </c>
      <c r="B35" s="13">
        <f>COUNTIF(C2:C19,A35)</f>
        <v/>
      </c>
      <c r="C35" s="13">
        <f>SUMIF(C2:C19,A35,G2:G19)</f>
        <v/>
      </c>
      <c r="D35" s="13">
        <f>IFERROR(AVERAGEIF(C2:C19,A35,G2:G19),"-")</f>
        <v/>
      </c>
    </row>
    <row r="36">
      <c r="A36" s="8" t="inlineStr">
        <is>
          <t>MT1</t>
        </is>
      </c>
      <c r="B36" s="13">
        <f>COUNTIF(C2:C19,A36)</f>
        <v/>
      </c>
      <c r="C36" s="13">
        <f>SUMIF(C2:C19,A36,G2:G19)</f>
        <v/>
      </c>
      <c r="D36" s="13">
        <f>IFERROR(AVERAGEIF(C2:C19,A36,G2:G19),"-")</f>
        <v/>
      </c>
    </row>
    <row r="37">
      <c r="A37" s="8" t="inlineStr">
        <is>
          <t>VG1</t>
        </is>
      </c>
      <c r="B37" s="13">
        <f>COUNTIF(C2:C19,A37)</f>
        <v/>
      </c>
      <c r="C37" s="13">
        <f>SUMIF(C2:C19,A37,G2:G19)</f>
        <v/>
      </c>
      <c r="D37" s="13">
        <f>IFERROR(AVERAGEIF(C2:C19,A37,G2:G19),"-")</f>
        <v/>
      </c>
    </row>
    <row r="38">
      <c r="A38" s="8" t="inlineStr">
        <is>
          <t>VT1</t>
        </is>
      </c>
      <c r="B38" s="13">
        <f>COUNTIF(C2:C19,A38)</f>
        <v/>
      </c>
      <c r="C38" s="13">
        <f>SUMIF(C2:C19,A38,G2:G19)</f>
        <v/>
      </c>
      <c r="D38" s="13">
        <f>IFERROR(AVERAGEIF(C2:C19,A38,G2:G19),"-")</f>
        <v/>
      </c>
    </row>
    <row r="39">
      <c r="A39" s="8" t="inlineStr">
        <is>
          <t>WG1</t>
        </is>
      </c>
      <c r="B39" s="13">
        <f>COUNTIF(C2:C19,A39)</f>
        <v/>
      </c>
      <c r="C39" s="13">
        <f>SUMIF(C2:C19,A39,G2:G19)</f>
        <v/>
      </c>
      <c r="D39" s="13">
        <f>IFERROR(AVERAGEIF(C2:C19,A39,G2:G19),"-")</f>
        <v/>
      </c>
    </row>
    <row r="40">
      <c r="A40" s="8" t="inlineStr">
        <is>
          <t>CRG1</t>
        </is>
      </c>
      <c r="B40" s="13">
        <f>COUNTIF(C2:C19,A40)</f>
        <v/>
      </c>
      <c r="C40" s="13">
        <f>SUMIF(C2:C19,A40,G2:G19)</f>
        <v/>
      </c>
      <c r="D40" s="13">
        <f>IFERROR(AVERAGEIF(C2:C19,A40,G2:G19),"-")</f>
        <v/>
      </c>
    </row>
    <row r="41">
      <c r="A41" s="8" t="inlineStr">
        <is>
          <t>BR2</t>
        </is>
      </c>
      <c r="B41" s="13">
        <f>COUNTIF(C2:C19,A41)</f>
        <v/>
      </c>
      <c r="C41" s="13">
        <f>SUMIF(C2:C19,A41,G2:G19)</f>
        <v/>
      </c>
      <c r="D41" s="13">
        <f>IFERROR(AVERAGEIF(C2:C19,A41,G2:G19),"-")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Normal="100" workbookViewId="0">
      <pane ySplit="1" topLeftCell="A8" activePane="bottomLeft" state="frozen"/>
      <selection pane="bottomLeft" activeCell="L2" sqref="L2:L15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</cols>
  <sheetData>
    <row r="1" ht="31.5" customHeight="1">
      <c r="A1" s="6" t="inlineStr">
        <is>
          <t>도면</t>
        </is>
      </c>
      <c r="B1" s="6" t="inlineStr">
        <is>
          <t>동·구역</t>
        </is>
      </c>
      <c r="C1" s="6" t="inlineStr">
        <is>
          <t>부호</t>
        </is>
      </c>
      <c r="D1" s="6" t="inlineStr">
        <is>
          <t>인스턴스ID</t>
        </is>
      </c>
      <c r="E1" s="6" t="inlineStr">
        <is>
          <t>측정 소스 도면</t>
        </is>
      </c>
      <c r="F1" s="6" t="inlineStr">
        <is>
          <t>도면 종류</t>
        </is>
      </c>
      <c r="G1" s="6" t="inlineStr">
        <is>
          <t>길이(mm)</t>
        </is>
      </c>
      <c r="H1" s="6" t="inlineStr">
        <is>
          <t>측정 근거</t>
        </is>
      </c>
      <c r="I1" s="6" t="inlineStr">
        <is>
          <t>참조좌표 X</t>
        </is>
      </c>
      <c r="J1" s="6" t="inlineStr">
        <is>
          <t>참조좌표 Y</t>
        </is>
      </c>
      <c r="K1" s="6" t="inlineStr">
        <is>
          <t>신뢰도</t>
        </is>
      </c>
      <c r="L1" s="6" t="inlineStr">
        <is>
          <t>비고</t>
        </is>
      </c>
    </row>
    <row r="2" ht="37.5" customHeight="1">
      <c r="A2" s="17" t="inlineStr">
        <is>
          <t>도면2</t>
        </is>
      </c>
      <c r="B2" s="18" t="n"/>
      <c r="C2" s="19" t="inlineStr">
        <is>
          <t>SC1</t>
        </is>
      </c>
      <c r="D2" s="18" t="inlineStr">
        <is>
          <t>SC1-001</t>
        </is>
      </c>
      <c r="E2" s="14" t="inlineStr">
        <is>
          <t>가,나동 횡단면도</t>
        </is>
      </c>
      <c r="F2" s="25" t="inlineStr">
        <is>
          <t>단면도</t>
        </is>
      </c>
      <c r="G2" s="21" t="n">
        <v>7700</v>
      </c>
      <c r="H2" s="14" t="inlineStr">
        <is>
          <t>횡단면도 좌측 치수 GL~처마 = 6000 (전체 7700 = 박공 1500 + 처마하 6000 + 기초 200)</t>
        </is>
      </c>
      <c r="I2" s="21" t="n"/>
      <c r="J2" s="21" t="n"/>
      <c r="K2" s="21" t="inlineStr">
        <is>
          <t>high</t>
        </is>
      </c>
      <c r="L2" s="41" t="inlineStr">
        <is>
          <t>SC1 규격: H-250x125x6.0x9.0</t>
        </is>
      </c>
    </row>
    <row r="3" ht="37.5" customHeight="1">
      <c r="A3" s="17" t="inlineStr">
        <is>
          <t>도면2</t>
        </is>
      </c>
      <c r="B3" s="18" t="n"/>
      <c r="C3" s="19" t="inlineStr">
        <is>
          <t>SC1</t>
        </is>
      </c>
      <c r="D3" s="18" t="inlineStr">
        <is>
          <t>SC1-002</t>
        </is>
      </c>
      <c r="E3" s="14" t="inlineStr">
        <is>
          <t>가,나동 횡단면도</t>
        </is>
      </c>
      <c r="F3" s="25" t="inlineStr">
        <is>
          <t>단면도</t>
        </is>
      </c>
      <c r="G3" s="21" t="n">
        <v>7700</v>
      </c>
      <c r="H3" s="14" t="inlineStr">
        <is>
          <t>횡단면도 좌측 치수 GL~처마 = 6000 (전체 7700 = 박공 1500 + 처마하 6000 + 기초 200)</t>
        </is>
      </c>
      <c r="I3" s="21" t="n"/>
      <c r="J3" s="21" t="n"/>
      <c r="K3" s="21" t="inlineStr">
        <is>
          <t>high</t>
        </is>
      </c>
      <c r="L3" s="41" t="inlineStr">
        <is>
          <t>SC1 규격: H-250x125x6.0x9.0</t>
        </is>
      </c>
    </row>
    <row r="4" ht="37.5" customHeight="1">
      <c r="A4" s="17" t="inlineStr">
        <is>
          <t>도면2</t>
        </is>
      </c>
      <c r="B4" s="18" t="n"/>
      <c r="C4" s="19" t="inlineStr">
        <is>
          <t>SC1</t>
        </is>
      </c>
      <c r="D4" s="18" t="inlineStr">
        <is>
          <t>SC1-003</t>
        </is>
      </c>
      <c r="E4" s="14" t="inlineStr">
        <is>
          <t>가,나동 횡단면도</t>
        </is>
      </c>
      <c r="F4" s="25" t="inlineStr">
        <is>
          <t>단면도</t>
        </is>
      </c>
      <c r="G4" s="21" t="n">
        <v>7700</v>
      </c>
      <c r="H4" s="14" t="inlineStr">
        <is>
          <t>횡단면도 좌측 치수 GL~처마 = 6000 (전체 7700 = 박공 1500 + 처마하 6000 + 기초 200)</t>
        </is>
      </c>
      <c r="I4" s="21" t="n"/>
      <c r="J4" s="21" t="n"/>
      <c r="K4" s="21" t="inlineStr">
        <is>
          <t>high</t>
        </is>
      </c>
      <c r="L4" s="41" t="inlineStr">
        <is>
          <t>SC1 규격: H-250x125x6.0x9.0</t>
        </is>
      </c>
    </row>
    <row r="5" ht="37.5" customHeight="1">
      <c r="A5" s="17" t="inlineStr">
        <is>
          <t>도면2</t>
        </is>
      </c>
      <c r="B5" s="18" t="n"/>
      <c r="C5" s="19" t="inlineStr">
        <is>
          <t>SC1</t>
        </is>
      </c>
      <c r="D5" s="18" t="inlineStr">
        <is>
          <t>SC1-004</t>
        </is>
      </c>
      <c r="E5" s="14" t="inlineStr">
        <is>
          <t>가,나동 횡단면도</t>
        </is>
      </c>
      <c r="F5" s="25" t="inlineStr">
        <is>
          <t>단면도</t>
        </is>
      </c>
      <c r="G5" s="21" t="n">
        <v>7700</v>
      </c>
      <c r="H5" s="14" t="inlineStr">
        <is>
          <t>횡단면도 좌측 치수 GL~처마 = 6000 (전체 7700 = 박공 1500 + 처마하 6000 + 기초 200)</t>
        </is>
      </c>
      <c r="I5" s="21" t="n"/>
      <c r="J5" s="21" t="n"/>
      <c r="K5" s="21" t="inlineStr">
        <is>
          <t>high</t>
        </is>
      </c>
      <c r="L5" s="41" t="inlineStr">
        <is>
          <t>SC1 규격: H-250x125x6.0x9.0</t>
        </is>
      </c>
    </row>
    <row r="6" ht="37.5" customHeight="1">
      <c r="A6" s="17" t="inlineStr">
        <is>
          <t>도면2</t>
        </is>
      </c>
      <c r="B6" s="18" t="n"/>
      <c r="C6" s="19" t="inlineStr">
        <is>
          <t>SC1</t>
        </is>
      </c>
      <c r="D6" s="18" t="inlineStr">
        <is>
          <t>SC1-005</t>
        </is>
      </c>
      <c r="E6" s="14" t="inlineStr">
        <is>
          <t>가,나동 횡단면도</t>
        </is>
      </c>
      <c r="F6" s="25" t="inlineStr">
        <is>
          <t>단면도</t>
        </is>
      </c>
      <c r="G6" s="21" t="n">
        <v>7700</v>
      </c>
      <c r="H6" s="14" t="inlineStr">
        <is>
          <t>횡단면도 좌측 치수 GL~처마 = 6000 (전체 7700 = 박공 1500 + 처마하 6000 + 기초 200)</t>
        </is>
      </c>
      <c r="I6" s="21" t="n"/>
      <c r="J6" s="21" t="n"/>
      <c r="K6" s="21" t="inlineStr">
        <is>
          <t>high</t>
        </is>
      </c>
      <c r="L6" s="41" t="inlineStr">
        <is>
          <t>SC1 규격: H-250x125x6.0x9.0</t>
        </is>
      </c>
    </row>
    <row r="7" ht="37.5" customHeight="1">
      <c r="A7" s="17" t="inlineStr">
        <is>
          <t>도면2</t>
        </is>
      </c>
      <c r="B7" s="18" t="n"/>
      <c r="C7" s="19" t="inlineStr">
        <is>
          <t>SC1</t>
        </is>
      </c>
      <c r="D7" s="18" t="inlineStr">
        <is>
          <t>SC1-006</t>
        </is>
      </c>
      <c r="E7" s="14" t="inlineStr">
        <is>
          <t>가,나동 횡단면도</t>
        </is>
      </c>
      <c r="F7" s="25" t="inlineStr">
        <is>
          <t>단면도</t>
        </is>
      </c>
      <c r="G7" s="21" t="n">
        <v>7700</v>
      </c>
      <c r="H7" s="14" t="inlineStr">
        <is>
          <t>횡단면도 좌측 치수 GL~처마 = 6000 (전체 7700 = 박공 1500 + 처마하 6000 + 기초 200)</t>
        </is>
      </c>
      <c r="I7" s="21" t="n"/>
      <c r="J7" s="21" t="n"/>
      <c r="K7" s="21" t="inlineStr">
        <is>
          <t>high</t>
        </is>
      </c>
      <c r="L7" s="41" t="inlineStr">
        <is>
          <t>SC1 규격: H-250x125x6.0x9.0</t>
        </is>
      </c>
    </row>
    <row r="8" ht="37.5" customHeight="1">
      <c r="A8" s="17" t="inlineStr">
        <is>
          <t>도면2</t>
        </is>
      </c>
      <c r="B8" s="18" t="n"/>
      <c r="C8" s="19" t="inlineStr">
        <is>
          <t>SC1</t>
        </is>
      </c>
      <c r="D8" s="18" t="inlineStr">
        <is>
          <t>SC1-007</t>
        </is>
      </c>
      <c r="E8" s="14" t="inlineStr">
        <is>
          <t>가,나동 횡단면도</t>
        </is>
      </c>
      <c r="F8" s="25" t="inlineStr">
        <is>
          <t>단면도</t>
        </is>
      </c>
      <c r="G8" s="21" t="n">
        <v>7700</v>
      </c>
      <c r="H8" s="14" t="inlineStr">
        <is>
          <t>횡단면도 좌측 치수 GL~처마 = 6000 (전체 7700 = 박공 1500 + 처마하 6000 + 기초 200)</t>
        </is>
      </c>
      <c r="I8" s="21" t="n"/>
      <c r="J8" s="21" t="n"/>
      <c r="K8" s="21" t="inlineStr">
        <is>
          <t>high</t>
        </is>
      </c>
      <c r="L8" s="41" t="inlineStr">
        <is>
          <t>SC1 규격: H-250x125x6.0x9.0</t>
        </is>
      </c>
    </row>
    <row r="9" ht="37.5" customHeight="1">
      <c r="A9" s="17" t="inlineStr">
        <is>
          <t>도면2</t>
        </is>
      </c>
      <c r="B9" s="18" t="n"/>
      <c r="C9" s="19" t="inlineStr">
        <is>
          <t>SC1</t>
        </is>
      </c>
      <c r="D9" s="18" t="inlineStr">
        <is>
          <t>SC1-008</t>
        </is>
      </c>
      <c r="E9" s="14" t="inlineStr">
        <is>
          <t>가,나동 횡단면도</t>
        </is>
      </c>
      <c r="F9" s="25" t="inlineStr">
        <is>
          <t>단면도</t>
        </is>
      </c>
      <c r="G9" s="21" t="n">
        <v>7700</v>
      </c>
      <c r="H9" s="14" t="inlineStr">
        <is>
          <t>횡단면도 좌측 치수 GL~처마 = 6000 (전체 7700 = 박공 1500 + 처마하 6000 + 기초 200)</t>
        </is>
      </c>
      <c r="I9" s="21" t="n"/>
      <c r="J9" s="21" t="n"/>
      <c r="K9" s="21" t="inlineStr">
        <is>
          <t>high</t>
        </is>
      </c>
      <c r="L9" s="41" t="inlineStr">
        <is>
          <t>SC1 규격: H-250x125x6.0x9.0</t>
        </is>
      </c>
    </row>
    <row r="10" ht="37.5" customHeight="1">
      <c r="A10" s="17" t="inlineStr">
        <is>
          <t>도면2</t>
        </is>
      </c>
      <c r="B10" s="18" t="n"/>
      <c r="C10" s="19" t="inlineStr">
        <is>
          <t>SC1</t>
        </is>
      </c>
      <c r="D10" s="18" t="inlineStr">
        <is>
          <t>SC1-009</t>
        </is>
      </c>
      <c r="E10" s="14" t="inlineStr">
        <is>
          <t>가,나동 횡단면도</t>
        </is>
      </c>
      <c r="F10" s="25" t="inlineStr">
        <is>
          <t>단면도</t>
        </is>
      </c>
      <c r="G10" s="21" t="n">
        <v>7700</v>
      </c>
      <c r="H10" s="14" t="inlineStr">
        <is>
          <t>횡단면도 좌측 치수 GL~처마 = 6000 (전체 7700 = 박공 1500 + 처마하 6000 + 기초 200)</t>
        </is>
      </c>
      <c r="I10" s="21" t="n"/>
      <c r="J10" s="21" t="n"/>
      <c r="K10" s="21" t="inlineStr">
        <is>
          <t>high</t>
        </is>
      </c>
      <c r="L10" s="41" t="inlineStr">
        <is>
          <t>SC1 규격: H-250x125x6.0x9.0</t>
        </is>
      </c>
    </row>
    <row r="11" ht="37.5" customHeight="1">
      <c r="A11" s="17" t="inlineStr">
        <is>
          <t>도면2</t>
        </is>
      </c>
      <c r="B11" s="18" t="n"/>
      <c r="C11" s="19" t="inlineStr">
        <is>
          <t>SC1</t>
        </is>
      </c>
      <c r="D11" s="18" t="inlineStr">
        <is>
          <t>SC1-010</t>
        </is>
      </c>
      <c r="E11" s="14" t="inlineStr">
        <is>
          <t>가,나동 횡단면도</t>
        </is>
      </c>
      <c r="F11" s="25" t="inlineStr">
        <is>
          <t>단면도</t>
        </is>
      </c>
      <c r="G11" s="21" t="n">
        <v>7700</v>
      </c>
      <c r="H11" s="14" t="inlineStr">
        <is>
          <t>횡단면도 좌측 치수 GL~처마 = 6000 (전체 7700 = 박공 1500 + 처마하 6000 + 기초 200)</t>
        </is>
      </c>
      <c r="I11" s="21" t="n"/>
      <c r="J11" s="21" t="n"/>
      <c r="K11" s="21" t="inlineStr">
        <is>
          <t>high</t>
        </is>
      </c>
      <c r="L11" s="41" t="inlineStr">
        <is>
          <t>SC1 규격: H-250x125x6.0x9.0</t>
        </is>
      </c>
    </row>
    <row r="12" ht="37.5" customHeight="1">
      <c r="A12" s="17" t="inlineStr">
        <is>
          <t>도면2</t>
        </is>
      </c>
      <c r="B12" s="18" t="n"/>
      <c r="C12" s="19" t="inlineStr">
        <is>
          <t>SC2</t>
        </is>
      </c>
      <c r="D12" s="18" t="inlineStr">
        <is>
          <t>SC2-001</t>
        </is>
      </c>
      <c r="E12" s="14" t="inlineStr">
        <is>
          <t>가,나동 횡단면도</t>
        </is>
      </c>
      <c r="F12" s="25" t="inlineStr">
        <is>
          <t>단면도</t>
        </is>
      </c>
      <c r="G12" s="21" t="n">
        <v>7700</v>
      </c>
      <c r="H12" s="20" t="inlineStr">
        <is>
          <t>SC1과 동일 처마 높이로 가정(6000). 박공면 위치 → 박공 안쪽으로 더 올라갈 가능성 있어 멘토 확인 필요</t>
        </is>
      </c>
      <c r="I12" s="21" t="n"/>
      <c r="J12" s="21" t="n"/>
      <c r="K12" s="21" t="inlineStr">
        <is>
          <t>medium</t>
        </is>
      </c>
      <c r="L12" s="41" t="inlineStr">
        <is>
          <t>SC2 규격: H-200x100x5.5x8.0</t>
        </is>
      </c>
    </row>
    <row r="13" ht="37.5" customHeight="1">
      <c r="A13" s="17" t="inlineStr">
        <is>
          <t>도면2</t>
        </is>
      </c>
      <c r="B13" s="18" t="n"/>
      <c r="C13" s="19" t="inlineStr">
        <is>
          <t>SC2</t>
        </is>
      </c>
      <c r="D13" s="18" t="inlineStr">
        <is>
          <t>SC2-002</t>
        </is>
      </c>
      <c r="E13" s="14" t="inlineStr">
        <is>
          <t>가,나동 횡단면도</t>
        </is>
      </c>
      <c r="F13" s="25" t="inlineStr">
        <is>
          <t>단면도</t>
        </is>
      </c>
      <c r="G13" s="21" t="n">
        <v>7700</v>
      </c>
      <c r="H13" s="20" t="inlineStr">
        <is>
          <t>SC1과 동일 처마 높이로 가정(6000). 박공면 위치 → 박공 안쪽으로 더 올라갈 가능성 있어 멘토 확인 필요</t>
        </is>
      </c>
      <c r="I13" s="21" t="n"/>
      <c r="J13" s="21" t="n"/>
      <c r="K13" s="21" t="inlineStr">
        <is>
          <t>medium</t>
        </is>
      </c>
      <c r="L13" s="41" t="inlineStr">
        <is>
          <t>SC2 규격: H-200x100x5.5x8.0</t>
        </is>
      </c>
    </row>
    <row r="14" ht="37.5" customHeight="1">
      <c r="A14" s="17" t="inlineStr">
        <is>
          <t>도면2</t>
        </is>
      </c>
      <c r="B14" s="18" t="n"/>
      <c r="C14" s="19" t="inlineStr">
        <is>
          <t>SC2</t>
        </is>
      </c>
      <c r="D14" s="18" t="inlineStr">
        <is>
          <t>SC2-003</t>
        </is>
      </c>
      <c r="E14" s="14" t="inlineStr">
        <is>
          <t>가,나동 횡단면도</t>
        </is>
      </c>
      <c r="F14" s="25" t="inlineStr">
        <is>
          <t>단면도</t>
        </is>
      </c>
      <c r="G14" s="21" t="n">
        <v>7700</v>
      </c>
      <c r="H14" s="20" t="inlineStr">
        <is>
          <t>SC1과 동일 처마 높이로 가정(6000). 박공면 위치 → 박공 안쪽으로 더 올라갈 가능성 있어 멘토 확인 필요</t>
        </is>
      </c>
      <c r="I14" s="21" t="n"/>
      <c r="J14" s="21" t="n"/>
      <c r="K14" s="21" t="inlineStr">
        <is>
          <t>medium</t>
        </is>
      </c>
      <c r="L14" s="41" t="inlineStr">
        <is>
          <t>SC2 규격: H-200x100x5.5x8.0</t>
        </is>
      </c>
    </row>
    <row r="15" ht="37.5" customHeight="1">
      <c r="A15" s="17" t="inlineStr">
        <is>
          <t>도면2</t>
        </is>
      </c>
      <c r="B15" s="18" t="n"/>
      <c r="C15" s="19" t="inlineStr">
        <is>
          <t>SC2</t>
        </is>
      </c>
      <c r="D15" s="18" t="inlineStr">
        <is>
          <t>SC2-004</t>
        </is>
      </c>
      <c r="E15" s="14" t="inlineStr">
        <is>
          <t>가,나동 횡단면도</t>
        </is>
      </c>
      <c r="F15" s="25" t="inlineStr">
        <is>
          <t>단면도</t>
        </is>
      </c>
      <c r="G15" s="21" t="n">
        <v>7700</v>
      </c>
      <c r="H15" s="20" t="inlineStr">
        <is>
          <t>SC1과 동일 처마 높이로 가정(6000). 박공면 위치 → 박공 안쪽으로 더 올라갈 가능성 있어 멘토 확인 필요</t>
        </is>
      </c>
      <c r="I15" s="21" t="n"/>
      <c r="J15" s="21" t="n"/>
      <c r="K15" s="21" t="inlineStr">
        <is>
          <t>medium</t>
        </is>
      </c>
      <c r="L15" s="41" t="inlineStr">
        <is>
          <t>SC2 규격: H-200x100x5.5x8.0</t>
        </is>
      </c>
    </row>
    <row r="16"/>
    <row r="17"/>
    <row r="18">
      <c r="A18" s="26" t="inlineStr">
        <is>
          <t>── 부호별 요약 (자동) ──</t>
        </is>
      </c>
    </row>
    <row r="19" ht="26" customHeight="1">
      <c r="A19" s="28" t="inlineStr">
        <is>
          <t>부호</t>
        </is>
      </c>
      <c r="B19" s="28" t="inlineStr">
        <is>
          <t>행 수</t>
        </is>
      </c>
      <c r="C19" s="28" t="inlineStr">
        <is>
          <t>총 길이(mm)</t>
        </is>
      </c>
      <c r="D19" s="28" t="inlineStr">
        <is>
          <t>평균 길이(mm)</t>
        </is>
      </c>
    </row>
    <row r="20">
      <c r="A20" s="35" t="inlineStr">
        <is>
          <t>SC1</t>
        </is>
      </c>
      <c r="B20" s="36">
        <f>COUNTIF(C2:C15,A20)</f>
        <v/>
      </c>
      <c r="C20" s="36">
        <f>SUMIF(C2:C15,A20,G2:G15)</f>
        <v/>
      </c>
      <c r="D20" s="36">
        <f>IFERROR(AVERAGEIF(C2:C15,A20,G2:G15),"-")</f>
        <v/>
      </c>
    </row>
    <row r="21">
      <c r="A21" s="35" t="inlineStr">
        <is>
          <t>SC2</t>
        </is>
      </c>
      <c r="B21" s="36">
        <f>COUNTIF(C2:C15,A21)</f>
        <v/>
      </c>
      <c r="C21" s="36">
        <f>SUMIF(C2:C15,A21,G2:G15)</f>
        <v/>
      </c>
      <c r="D21" s="36">
        <f>IFERROR(AVERAGEIF(C2:C15,A21,G2:G15),"-")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</cols>
  <sheetData>
    <row r="1" ht="31.5" customHeight="1">
      <c r="A1" s="6" t="inlineStr">
        <is>
          <t>도면</t>
        </is>
      </c>
      <c r="B1" s="6" t="inlineStr">
        <is>
          <t>동·구역</t>
        </is>
      </c>
      <c r="C1" s="6" t="inlineStr">
        <is>
          <t>부호</t>
        </is>
      </c>
      <c r="D1" s="6" t="inlineStr">
        <is>
          <t>인스턴스ID</t>
        </is>
      </c>
      <c r="E1" s="6" t="inlineStr">
        <is>
          <t>측정 소스 도면</t>
        </is>
      </c>
      <c r="F1" s="6" t="inlineStr">
        <is>
          <t>도면 종류</t>
        </is>
      </c>
      <c r="G1" s="6" t="inlineStr">
        <is>
          <t>길이(mm)</t>
        </is>
      </c>
      <c r="H1" s="6" t="inlineStr">
        <is>
          <t>측정 근거</t>
        </is>
      </c>
      <c r="I1" s="6" t="inlineStr">
        <is>
          <t>참조좌표 X</t>
        </is>
      </c>
      <c r="J1" s="6" t="inlineStr">
        <is>
          <t>참조좌표 Y</t>
        </is>
      </c>
      <c r="K1" s="6" t="inlineStr">
        <is>
          <t>신뢰도</t>
        </is>
      </c>
      <c r="L1" s="6" t="inlineStr">
        <is>
          <t>비고</t>
        </is>
      </c>
    </row>
    <row r="2">
      <c r="A2" s="7" t="inlineStr">
        <is>
          <t>도면2</t>
        </is>
      </c>
      <c r="B2" s="8" t="n"/>
      <c r="C2" s="9" t="inlineStr">
        <is>
          <t>SG1</t>
        </is>
      </c>
      <c r="D2" s="8" t="inlineStr">
        <is>
          <t>SG1-001</t>
        </is>
      </c>
      <c r="E2" s="10" t="n"/>
      <c r="F2" s="11" t="n"/>
      <c r="G2" s="11" t="n"/>
      <c r="H2" s="10" t="n"/>
      <c r="I2" s="11" t="n"/>
      <c r="J2" s="11" t="n"/>
      <c r="K2" s="11" t="n"/>
      <c r="L2" s="10" t="n"/>
    </row>
    <row r="3">
      <c r="A3" s="7" t="inlineStr">
        <is>
          <t>도면2</t>
        </is>
      </c>
      <c r="B3" s="8" t="n"/>
      <c r="C3" s="9" t="inlineStr">
        <is>
          <t>SG2</t>
        </is>
      </c>
      <c r="D3" s="8" t="inlineStr">
        <is>
          <t>SG2-001</t>
        </is>
      </c>
      <c r="E3" s="10" t="n"/>
      <c r="F3" s="11" t="n"/>
      <c r="G3" s="11" t="n"/>
      <c r="H3" s="10" t="n"/>
      <c r="I3" s="11" t="n"/>
      <c r="J3" s="11" t="n"/>
      <c r="K3" s="11" t="n"/>
      <c r="L3" s="10" t="n"/>
    </row>
    <row r="4">
      <c r="A4" s="7" t="inlineStr">
        <is>
          <t>도면2</t>
        </is>
      </c>
      <c r="B4" s="8" t="n"/>
      <c r="C4" s="9" t="inlineStr">
        <is>
          <t>SB1</t>
        </is>
      </c>
      <c r="D4" s="8" t="inlineStr">
        <is>
          <t>SB1-001</t>
        </is>
      </c>
      <c r="E4" s="10" t="n"/>
      <c r="F4" s="11" t="n"/>
      <c r="G4" s="11" t="n"/>
      <c r="H4" s="10" t="n"/>
      <c r="I4" s="11" t="n"/>
      <c r="J4" s="11" t="n"/>
      <c r="K4" s="11" t="n"/>
      <c r="L4" s="10" t="n"/>
    </row>
    <row r="5">
      <c r="A5" s="7" t="inlineStr">
        <is>
          <t>도면2</t>
        </is>
      </c>
      <c r="B5" s="8" t="n"/>
      <c r="C5" s="9" t="inlineStr">
        <is>
          <t>SB2</t>
        </is>
      </c>
      <c r="D5" s="8" t="inlineStr">
        <is>
          <t>SB2-001</t>
        </is>
      </c>
      <c r="E5" s="10" t="n"/>
      <c r="F5" s="11" t="n"/>
      <c r="G5" s="11" t="n"/>
      <c r="H5" s="10" t="n"/>
      <c r="I5" s="11" t="n"/>
      <c r="J5" s="11" t="n"/>
      <c r="K5" s="11" t="n"/>
      <c r="L5" s="10" t="n"/>
    </row>
    <row r="8">
      <c r="A8" s="12" t="inlineStr">
        <is>
          <t>── 부호별 요약 (자동) ──</t>
        </is>
      </c>
    </row>
    <row r="9" ht="26" customHeight="1">
      <c r="A9" s="6" t="inlineStr">
        <is>
          <t>부호</t>
        </is>
      </c>
      <c r="B9" s="6" t="inlineStr">
        <is>
          <t>행 수</t>
        </is>
      </c>
      <c r="C9" s="6" t="inlineStr">
        <is>
          <t>총 길이(mm)</t>
        </is>
      </c>
      <c r="D9" s="6" t="inlineStr">
        <is>
          <t>평균 길이(mm)</t>
        </is>
      </c>
    </row>
    <row r="10">
      <c r="A10" s="8" t="inlineStr">
        <is>
          <t>SG1</t>
        </is>
      </c>
      <c r="B10" s="13">
        <f>COUNTIF(C2:C5,A10)</f>
        <v/>
      </c>
      <c r="C10" s="13">
        <f>SUMIF(C2:C5,A10,G2:G5)</f>
        <v/>
      </c>
      <c r="D10" s="13">
        <f>IFERROR(AVERAGEIF(C2:C5,A10,G2:G5),"-")</f>
        <v/>
      </c>
    </row>
    <row r="11">
      <c r="A11" s="8" t="inlineStr">
        <is>
          <t>SG2</t>
        </is>
      </c>
      <c r="B11" s="13">
        <f>COUNTIF(C2:C5,A11)</f>
        <v/>
      </c>
      <c r="C11" s="13">
        <f>SUMIF(C2:C5,A11,G2:G5)</f>
        <v/>
      </c>
      <c r="D11" s="13">
        <f>IFERROR(AVERAGEIF(C2:C5,A11,G2:G5),"-")</f>
        <v/>
      </c>
    </row>
    <row r="12">
      <c r="A12" s="8" t="inlineStr">
        <is>
          <t>SB1</t>
        </is>
      </c>
      <c r="B12" s="13">
        <f>COUNTIF(C2:C5,A12)</f>
        <v/>
      </c>
      <c r="C12" s="13">
        <f>SUMIF(C2:C5,A12,G2:G5)</f>
        <v/>
      </c>
      <c r="D12" s="13">
        <f>IFERROR(AVERAGEIF(C2:C5,A12,G2:G5),"-")</f>
        <v/>
      </c>
    </row>
    <row r="13">
      <c r="A13" s="8" t="inlineStr">
        <is>
          <t>SB2</t>
        </is>
      </c>
      <c r="B13" s="13">
        <f>COUNTIF(C2:C5,A13)</f>
        <v/>
      </c>
      <c r="C13" s="13">
        <f>SUMIF(C2:C5,A13,G2:G5)</f>
        <v/>
      </c>
      <c r="D13" s="13">
        <f>IFERROR(AVERAGEIF(C2:C5,A13,G2:G5),"-")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Normal="100" workbookViewId="0">
      <pane ySplit="1" topLeftCell="A31" activePane="bottomLeft" state="frozen"/>
      <selection pane="bottomLeft" activeCell="H44" sqref="H44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</cols>
  <sheetData>
    <row r="1" ht="31.5" customHeight="1">
      <c r="A1" s="6" t="inlineStr">
        <is>
          <t>도면</t>
        </is>
      </c>
      <c r="B1" s="6" t="inlineStr">
        <is>
          <t>동·구역</t>
        </is>
      </c>
      <c r="C1" s="6" t="inlineStr">
        <is>
          <t>부호</t>
        </is>
      </c>
      <c r="D1" s="6" t="inlineStr">
        <is>
          <t>인스턴스ID</t>
        </is>
      </c>
      <c r="E1" s="6" t="inlineStr">
        <is>
          <t>측정 소스 도면</t>
        </is>
      </c>
      <c r="F1" s="6" t="inlineStr">
        <is>
          <t>도면 종류</t>
        </is>
      </c>
      <c r="G1" s="6" t="inlineStr">
        <is>
          <t>길이(mm)</t>
        </is>
      </c>
      <c r="H1" s="6" t="inlineStr">
        <is>
          <t>측정 근거</t>
        </is>
      </c>
      <c r="I1" s="6" t="inlineStr">
        <is>
          <t>참조좌표 X</t>
        </is>
      </c>
      <c r="J1" s="6" t="inlineStr">
        <is>
          <t>참조좌표 Y</t>
        </is>
      </c>
      <c r="K1" s="6" t="inlineStr">
        <is>
          <t>신뢰도</t>
        </is>
      </c>
      <c r="L1" s="6" t="inlineStr">
        <is>
          <t>비고</t>
        </is>
      </c>
    </row>
    <row r="2" ht="50" customHeight="1">
      <c r="A2" s="17" t="inlineStr">
        <is>
          <t>도면3</t>
        </is>
      </c>
      <c r="B2" s="18" t="n"/>
      <c r="C2" s="19" t="inlineStr">
        <is>
          <t>C1</t>
        </is>
      </c>
      <c r="D2" s="18" t="inlineStr">
        <is>
          <t>C1-001</t>
        </is>
      </c>
      <c r="E2" s="14" t="inlineStr">
        <is>
          <t>종단면도, 계단단면도</t>
        </is>
      </c>
      <c r="F2" s="25" t="inlineStr">
        <is>
          <t>단면도</t>
        </is>
      </c>
      <c r="G2" s="21" t="n">
        <v>19060</v>
      </c>
      <c r="H2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" s="21" t="n"/>
      <c r="J2" s="21" t="n"/>
      <c r="K2" s="21" t="inlineStr">
        <is>
          <t>high</t>
        </is>
      </c>
      <c r="L2" s="41" t="inlineStr">
        <is>
          <t>C1 규격: 600x407x20x35 (현장제작)</t>
        </is>
      </c>
    </row>
    <row r="3" ht="50" customHeight="1">
      <c r="A3" s="17" t="inlineStr">
        <is>
          <t>도면3</t>
        </is>
      </c>
      <c r="B3" s="18" t="n"/>
      <c r="C3" s="19" t="inlineStr">
        <is>
          <t>C1</t>
        </is>
      </c>
      <c r="D3" s="18" t="inlineStr">
        <is>
          <t>C1-002</t>
        </is>
      </c>
      <c r="E3" s="14" t="inlineStr">
        <is>
          <t>종단면도, 계단단면도</t>
        </is>
      </c>
      <c r="F3" s="25" t="inlineStr">
        <is>
          <t>단면도</t>
        </is>
      </c>
      <c r="G3" s="21" t="n">
        <v>19060</v>
      </c>
      <c r="H3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3" s="21" t="n"/>
      <c r="J3" s="21" t="n"/>
      <c r="K3" s="21" t="inlineStr">
        <is>
          <t>high</t>
        </is>
      </c>
      <c r="L3" s="41" t="inlineStr">
        <is>
          <t>C1 규격: 600x407x20x35 (현장제작)</t>
        </is>
      </c>
    </row>
    <row r="4" ht="50" customHeight="1">
      <c r="A4" s="17" t="inlineStr">
        <is>
          <t>도면3</t>
        </is>
      </c>
      <c r="B4" s="18" t="n"/>
      <c r="C4" s="19" t="inlineStr">
        <is>
          <t>C1</t>
        </is>
      </c>
      <c r="D4" s="18" t="inlineStr">
        <is>
          <t>C1-003</t>
        </is>
      </c>
      <c r="E4" s="14" t="inlineStr">
        <is>
          <t>종단면도, 계단단면도</t>
        </is>
      </c>
      <c r="F4" s="25" t="inlineStr">
        <is>
          <t>단면도</t>
        </is>
      </c>
      <c r="G4" s="21" t="n">
        <v>19060</v>
      </c>
      <c r="H4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4" s="21" t="n"/>
      <c r="J4" s="21" t="n"/>
      <c r="K4" s="21" t="inlineStr">
        <is>
          <t>high</t>
        </is>
      </c>
      <c r="L4" s="41" t="inlineStr">
        <is>
          <t>C1 규격: 600x407x20x35 (현장제작)</t>
        </is>
      </c>
    </row>
    <row r="5" ht="50" customHeight="1">
      <c r="A5" s="17" t="inlineStr">
        <is>
          <t>도면3</t>
        </is>
      </c>
      <c r="B5" s="18" t="n"/>
      <c r="C5" s="19" t="inlineStr">
        <is>
          <t>C1</t>
        </is>
      </c>
      <c r="D5" s="18" t="inlineStr">
        <is>
          <t>C1-004</t>
        </is>
      </c>
      <c r="E5" s="14" t="inlineStr">
        <is>
          <t>종단면도, 계단단면도</t>
        </is>
      </c>
      <c r="F5" s="25" t="inlineStr">
        <is>
          <t>단면도</t>
        </is>
      </c>
      <c r="G5" s="21" t="n">
        <v>19060</v>
      </c>
      <c r="H5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5" s="21" t="n"/>
      <c r="J5" s="21" t="n"/>
      <c r="K5" s="21" t="inlineStr">
        <is>
          <t>high</t>
        </is>
      </c>
      <c r="L5" s="41" t="inlineStr">
        <is>
          <t>C1 규격: 600x407x20x35 (현장제작)</t>
        </is>
      </c>
    </row>
    <row r="6" ht="50" customHeight="1">
      <c r="A6" s="17" t="inlineStr">
        <is>
          <t>도면3</t>
        </is>
      </c>
      <c r="B6" s="18" t="n"/>
      <c r="C6" s="19" t="inlineStr">
        <is>
          <t>C1</t>
        </is>
      </c>
      <c r="D6" s="18" t="inlineStr">
        <is>
          <t>C1-005</t>
        </is>
      </c>
      <c r="E6" s="14" t="inlineStr">
        <is>
          <t>종단면도, 계단단면도</t>
        </is>
      </c>
      <c r="F6" s="25" t="inlineStr">
        <is>
          <t>단면도</t>
        </is>
      </c>
      <c r="G6" s="21" t="n">
        <v>19060</v>
      </c>
      <c r="H6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6" s="21" t="n"/>
      <c r="J6" s="21" t="n"/>
      <c r="K6" s="21" t="inlineStr">
        <is>
          <t>high</t>
        </is>
      </c>
      <c r="L6" s="41" t="inlineStr">
        <is>
          <t>C1 규격: 600x407x20x35 (현장제작)</t>
        </is>
      </c>
    </row>
    <row r="7" ht="50" customHeight="1">
      <c r="A7" s="17" t="inlineStr">
        <is>
          <t>도면3</t>
        </is>
      </c>
      <c r="B7" s="18" t="n"/>
      <c r="C7" s="19" t="inlineStr">
        <is>
          <t>C1</t>
        </is>
      </c>
      <c r="D7" s="18" t="inlineStr">
        <is>
          <t>C1-006</t>
        </is>
      </c>
      <c r="E7" s="14" t="inlineStr">
        <is>
          <t>종단면도, 계단단면도</t>
        </is>
      </c>
      <c r="F7" s="25" t="inlineStr">
        <is>
          <t>단면도</t>
        </is>
      </c>
      <c r="G7" s="21" t="n">
        <v>19060</v>
      </c>
      <c r="H7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7" s="21" t="n"/>
      <c r="J7" s="21" t="n"/>
      <c r="K7" s="21" t="inlineStr">
        <is>
          <t>high</t>
        </is>
      </c>
      <c r="L7" s="41" t="inlineStr">
        <is>
          <t>C1 규격: 600x407x20x35 (현장제작)</t>
        </is>
      </c>
    </row>
    <row r="8" ht="50" customHeight="1">
      <c r="A8" s="17" t="inlineStr">
        <is>
          <t>도면3</t>
        </is>
      </c>
      <c r="B8" s="18" t="n"/>
      <c r="C8" s="19" t="inlineStr">
        <is>
          <t>C1</t>
        </is>
      </c>
      <c r="D8" s="18" t="inlineStr">
        <is>
          <t>C1-007</t>
        </is>
      </c>
      <c r="E8" s="14" t="inlineStr">
        <is>
          <t>종단면도, 계단단면도</t>
        </is>
      </c>
      <c r="F8" s="25" t="inlineStr">
        <is>
          <t>단면도</t>
        </is>
      </c>
      <c r="G8" s="21" t="n">
        <v>19060</v>
      </c>
      <c r="H8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8" s="21" t="n"/>
      <c r="J8" s="21" t="n"/>
      <c r="K8" s="21" t="inlineStr">
        <is>
          <t>high</t>
        </is>
      </c>
      <c r="L8" s="41" t="inlineStr">
        <is>
          <t>C1 규격: 600x407x20x35 (현장제작)</t>
        </is>
      </c>
    </row>
    <row r="9" ht="50" customHeight="1">
      <c r="A9" s="17" t="inlineStr">
        <is>
          <t>도면3</t>
        </is>
      </c>
      <c r="B9" s="18" t="n"/>
      <c r="C9" s="19" t="inlineStr">
        <is>
          <t>C1</t>
        </is>
      </c>
      <c r="D9" s="18" t="inlineStr">
        <is>
          <t>C1-008</t>
        </is>
      </c>
      <c r="E9" s="14" t="inlineStr">
        <is>
          <t>종단면도, 계단단면도</t>
        </is>
      </c>
      <c r="F9" s="25" t="inlineStr">
        <is>
          <t>단면도</t>
        </is>
      </c>
      <c r="G9" s="21" t="n">
        <v>19060</v>
      </c>
      <c r="H9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9" s="21" t="n"/>
      <c r="J9" s="21" t="n"/>
      <c r="K9" s="21" t="inlineStr">
        <is>
          <t>high</t>
        </is>
      </c>
      <c r="L9" s="41" t="inlineStr">
        <is>
          <t>C1 규격: 600x407x20x35 (현장제작)</t>
        </is>
      </c>
    </row>
    <row r="10" ht="50" customHeight="1">
      <c r="A10" s="17" t="inlineStr">
        <is>
          <t>도면3</t>
        </is>
      </c>
      <c r="B10" s="18" t="n"/>
      <c r="C10" s="19" t="inlineStr">
        <is>
          <t>C2</t>
        </is>
      </c>
      <c r="D10" s="18" t="inlineStr">
        <is>
          <t>C2-001</t>
        </is>
      </c>
      <c r="E10" s="14" t="inlineStr">
        <is>
          <t>종단면도, 계단단면도</t>
        </is>
      </c>
      <c r="F10" s="25" t="inlineStr">
        <is>
          <t>단면도</t>
        </is>
      </c>
      <c r="G10" s="21" t="n">
        <v>19060</v>
      </c>
      <c r="H10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0" s="21" t="n"/>
      <c r="J10" s="21" t="n"/>
      <c r="K10" s="21" t="inlineStr">
        <is>
          <t>high</t>
        </is>
      </c>
      <c r="L10" s="41" t="inlineStr">
        <is>
          <t>C2 규격: 428x407x20x35</t>
        </is>
      </c>
    </row>
    <row r="11" ht="50" customHeight="1">
      <c r="A11" s="17" t="inlineStr">
        <is>
          <t>도면3</t>
        </is>
      </c>
      <c r="B11" s="18" t="n"/>
      <c r="C11" s="19" t="inlineStr">
        <is>
          <t>C2</t>
        </is>
      </c>
      <c r="D11" s="18" t="inlineStr">
        <is>
          <t>C2-002</t>
        </is>
      </c>
      <c r="E11" s="14" t="inlineStr">
        <is>
          <t>종단면도, 계단단면도</t>
        </is>
      </c>
      <c r="F11" s="25" t="inlineStr">
        <is>
          <t>단면도</t>
        </is>
      </c>
      <c r="G11" s="21" t="n">
        <v>19060</v>
      </c>
      <c r="H11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1" s="21" t="n"/>
      <c r="J11" s="21" t="n"/>
      <c r="K11" s="21" t="inlineStr">
        <is>
          <t>high</t>
        </is>
      </c>
      <c r="L11" s="41" t="inlineStr">
        <is>
          <t>C2 규격: 428x407x20x35</t>
        </is>
      </c>
    </row>
    <row r="12" ht="50" customHeight="1">
      <c r="A12" s="17" t="inlineStr">
        <is>
          <t>도면3</t>
        </is>
      </c>
      <c r="B12" s="18" t="n"/>
      <c r="C12" s="19" t="inlineStr">
        <is>
          <t>C2</t>
        </is>
      </c>
      <c r="D12" s="18" t="inlineStr">
        <is>
          <t>C2-003</t>
        </is>
      </c>
      <c r="E12" s="14" t="inlineStr">
        <is>
          <t>종단면도, 계단단면도</t>
        </is>
      </c>
      <c r="F12" s="25" t="inlineStr">
        <is>
          <t>단면도</t>
        </is>
      </c>
      <c r="G12" s="21" t="n">
        <v>19060</v>
      </c>
      <c r="H12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2" s="21" t="n"/>
      <c r="J12" s="21" t="n"/>
      <c r="K12" s="21" t="inlineStr">
        <is>
          <t>high</t>
        </is>
      </c>
      <c r="L12" s="41" t="inlineStr">
        <is>
          <t>C2 규격: 428x407x20x35</t>
        </is>
      </c>
    </row>
    <row r="13" ht="50" customHeight="1">
      <c r="A13" s="17" t="inlineStr">
        <is>
          <t>도면3</t>
        </is>
      </c>
      <c r="B13" s="18" t="n"/>
      <c r="C13" s="19" t="inlineStr">
        <is>
          <t>C2</t>
        </is>
      </c>
      <c r="D13" s="18" t="inlineStr">
        <is>
          <t>C2-004</t>
        </is>
      </c>
      <c r="E13" s="14" t="inlineStr">
        <is>
          <t>종단면도, 계단단면도</t>
        </is>
      </c>
      <c r="F13" s="25" t="inlineStr">
        <is>
          <t>단면도</t>
        </is>
      </c>
      <c r="G13" s="21" t="n">
        <v>19060</v>
      </c>
      <c r="H13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3" s="21" t="n"/>
      <c r="J13" s="21" t="n"/>
      <c r="K13" s="21" t="inlineStr">
        <is>
          <t>high</t>
        </is>
      </c>
      <c r="L13" s="41" t="inlineStr">
        <is>
          <t>C2 규격: 428x407x20x35</t>
        </is>
      </c>
    </row>
    <row r="14" ht="50" customHeight="1">
      <c r="A14" s="17" t="inlineStr">
        <is>
          <t>도면3</t>
        </is>
      </c>
      <c r="B14" s="18" t="n"/>
      <c r="C14" s="19" t="inlineStr">
        <is>
          <t>C2</t>
        </is>
      </c>
      <c r="D14" s="18" t="inlineStr">
        <is>
          <t>C2-005</t>
        </is>
      </c>
      <c r="E14" s="14" t="inlineStr">
        <is>
          <t>종단면도, 계단단면도</t>
        </is>
      </c>
      <c r="F14" s="25" t="inlineStr">
        <is>
          <t>단면도</t>
        </is>
      </c>
      <c r="G14" s="21" t="n">
        <v>19060</v>
      </c>
      <c r="H14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4" s="21" t="n"/>
      <c r="J14" s="21" t="n"/>
      <c r="K14" s="21" t="inlineStr">
        <is>
          <t>high</t>
        </is>
      </c>
      <c r="L14" s="41" t="inlineStr">
        <is>
          <t>C2 규격: 428x407x20x35</t>
        </is>
      </c>
    </row>
    <row r="15" ht="50" customHeight="1">
      <c r="A15" s="17" t="inlineStr">
        <is>
          <t>도면3</t>
        </is>
      </c>
      <c r="B15" s="18" t="n"/>
      <c r="C15" s="19" t="inlineStr">
        <is>
          <t>C2</t>
        </is>
      </c>
      <c r="D15" s="18" t="inlineStr">
        <is>
          <t>C2-006</t>
        </is>
      </c>
      <c r="E15" s="14" t="inlineStr">
        <is>
          <t>종단면도, 계단단면도</t>
        </is>
      </c>
      <c r="F15" s="25" t="inlineStr">
        <is>
          <t>단면도</t>
        </is>
      </c>
      <c r="G15" s="21" t="n">
        <v>19060</v>
      </c>
      <c r="H15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5" s="21" t="n"/>
      <c r="J15" s="21" t="n"/>
      <c r="K15" s="21" t="inlineStr">
        <is>
          <t>high</t>
        </is>
      </c>
      <c r="L15" s="41" t="inlineStr">
        <is>
          <t>C2 규격: 428x407x20x35</t>
        </is>
      </c>
    </row>
    <row r="16" ht="50" customHeight="1">
      <c r="A16" s="17" t="inlineStr">
        <is>
          <t>도면3</t>
        </is>
      </c>
      <c r="B16" s="18" t="n"/>
      <c r="C16" s="19" t="inlineStr">
        <is>
          <t>C2</t>
        </is>
      </c>
      <c r="D16" s="18" t="inlineStr">
        <is>
          <t>C2-007</t>
        </is>
      </c>
      <c r="E16" s="14" t="inlineStr">
        <is>
          <t>종단면도, 계단단면도</t>
        </is>
      </c>
      <c r="F16" s="25" t="inlineStr">
        <is>
          <t>단면도</t>
        </is>
      </c>
      <c r="G16" s="21" t="n">
        <v>19060</v>
      </c>
      <c r="H16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6" s="21" t="n"/>
      <c r="J16" s="21" t="n"/>
      <c r="K16" s="21" t="inlineStr">
        <is>
          <t>high</t>
        </is>
      </c>
      <c r="L16" s="41" t="inlineStr">
        <is>
          <t>C2 규격: 428x407x20x35</t>
        </is>
      </c>
    </row>
    <row r="17" ht="50" customHeight="1">
      <c r="A17" s="17" t="inlineStr">
        <is>
          <t>도면3</t>
        </is>
      </c>
      <c r="B17" s="18" t="n"/>
      <c r="C17" s="19" t="inlineStr">
        <is>
          <t>C2</t>
        </is>
      </c>
      <c r="D17" s="18" t="inlineStr">
        <is>
          <t>C2-008</t>
        </is>
      </c>
      <c r="E17" s="14" t="inlineStr">
        <is>
          <t>종단면도, 계단단면도</t>
        </is>
      </c>
      <c r="F17" s="25" t="inlineStr">
        <is>
          <t>단면도</t>
        </is>
      </c>
      <c r="G17" s="21" t="n">
        <v>19060</v>
      </c>
      <c r="H17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7" s="21" t="n"/>
      <c r="J17" s="21" t="n"/>
      <c r="K17" s="21" t="inlineStr">
        <is>
          <t>high</t>
        </is>
      </c>
      <c r="L17" s="41" t="inlineStr">
        <is>
          <t>C2 규격: 428x407x20x35</t>
        </is>
      </c>
    </row>
    <row r="18" ht="50" customHeight="1">
      <c r="A18" s="17" t="inlineStr">
        <is>
          <t>도면3</t>
        </is>
      </c>
      <c r="B18" s="18" t="n"/>
      <c r="C18" s="19" t="inlineStr">
        <is>
          <t>C2</t>
        </is>
      </c>
      <c r="D18" s="18" t="inlineStr">
        <is>
          <t>C2-009</t>
        </is>
      </c>
      <c r="E18" s="14" t="inlineStr">
        <is>
          <t>종단면도, 계단단면도</t>
        </is>
      </c>
      <c r="F18" s="25" t="inlineStr">
        <is>
          <t>단면도</t>
        </is>
      </c>
      <c r="G18" s="21" t="n">
        <v>19060</v>
      </c>
      <c r="H18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8" s="21" t="n"/>
      <c r="J18" s="21" t="n"/>
      <c r="K18" s="21" t="inlineStr">
        <is>
          <t>high</t>
        </is>
      </c>
      <c r="L18" s="41" t="inlineStr">
        <is>
          <t>C2 규격: 428x407x20x35</t>
        </is>
      </c>
    </row>
    <row r="19" ht="50" customHeight="1">
      <c r="A19" s="17" t="inlineStr">
        <is>
          <t>도면3</t>
        </is>
      </c>
      <c r="B19" s="18" t="n"/>
      <c r="C19" s="19" t="inlineStr">
        <is>
          <t>C2</t>
        </is>
      </c>
      <c r="D19" s="18" t="inlineStr">
        <is>
          <t>C2-010</t>
        </is>
      </c>
      <c r="E19" s="14" t="inlineStr">
        <is>
          <t>종단면도, 계단단면도</t>
        </is>
      </c>
      <c r="F19" s="25" t="inlineStr">
        <is>
          <t>단면도</t>
        </is>
      </c>
      <c r="G19" s="21" t="n">
        <v>19060</v>
      </c>
      <c r="H19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19" s="21" t="n"/>
      <c r="J19" s="21" t="n"/>
      <c r="K19" s="21" t="inlineStr">
        <is>
          <t>high</t>
        </is>
      </c>
      <c r="L19" s="41" t="inlineStr">
        <is>
          <t>C2 규격: 428x407x20x35</t>
        </is>
      </c>
    </row>
    <row r="20" ht="50" customHeight="1">
      <c r="A20" s="17" t="inlineStr">
        <is>
          <t>도면3</t>
        </is>
      </c>
      <c r="B20" s="18" t="n"/>
      <c r="C20" s="19" t="inlineStr">
        <is>
          <t>C2</t>
        </is>
      </c>
      <c r="D20" s="18" t="inlineStr">
        <is>
          <t>C2-011</t>
        </is>
      </c>
      <c r="E20" s="14" t="inlineStr">
        <is>
          <t>종단면도, 계단단면도</t>
        </is>
      </c>
      <c r="F20" s="25" t="inlineStr">
        <is>
          <t>단면도</t>
        </is>
      </c>
      <c r="G20" s="21" t="n">
        <v>19060</v>
      </c>
      <c r="H20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0" s="21" t="n"/>
      <c r="J20" s="21" t="n"/>
      <c r="K20" s="21" t="inlineStr">
        <is>
          <t>high</t>
        </is>
      </c>
      <c r="L20" s="41" t="inlineStr">
        <is>
          <t>C2 규격: 428x407x20x35</t>
        </is>
      </c>
    </row>
    <row r="21" ht="50" customHeight="1">
      <c r="A21" s="17" t="inlineStr">
        <is>
          <t>도면3</t>
        </is>
      </c>
      <c r="B21" s="18" t="n"/>
      <c r="C21" s="19" t="inlineStr">
        <is>
          <t>C2</t>
        </is>
      </c>
      <c r="D21" s="18" t="inlineStr">
        <is>
          <t>C2-012</t>
        </is>
      </c>
      <c r="E21" s="14" t="inlineStr">
        <is>
          <t>종단면도, 계단단면도</t>
        </is>
      </c>
      <c r="F21" s="25" t="inlineStr">
        <is>
          <t>단면도</t>
        </is>
      </c>
      <c r="G21" s="21" t="n">
        <v>19060</v>
      </c>
      <c r="H21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1" s="21" t="n"/>
      <c r="J21" s="21" t="n"/>
      <c r="K21" s="21" t="inlineStr">
        <is>
          <t>high</t>
        </is>
      </c>
      <c r="L21" s="41" t="inlineStr">
        <is>
          <t>C2 규격: 428x407x20x35</t>
        </is>
      </c>
    </row>
    <row r="22" ht="50" customHeight="1">
      <c r="A22" s="17" t="inlineStr">
        <is>
          <t>도면3</t>
        </is>
      </c>
      <c r="B22" s="18" t="n"/>
      <c r="C22" s="19" t="inlineStr">
        <is>
          <t>C2</t>
        </is>
      </c>
      <c r="D22" s="18" t="inlineStr">
        <is>
          <t>C2-013</t>
        </is>
      </c>
      <c r="E22" s="14" t="inlineStr">
        <is>
          <t>종단면도, 계단단면도</t>
        </is>
      </c>
      <c r="F22" s="25" t="inlineStr">
        <is>
          <t>단면도</t>
        </is>
      </c>
      <c r="G22" s="21" t="n">
        <v>19060</v>
      </c>
      <c r="H22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2" s="21" t="n"/>
      <c r="J22" s="21" t="n"/>
      <c r="K22" s="21" t="inlineStr">
        <is>
          <t>high</t>
        </is>
      </c>
      <c r="L22" s="41" t="inlineStr">
        <is>
          <t>C2 규격: 428x407x20x35</t>
        </is>
      </c>
    </row>
    <row r="23" ht="50" customHeight="1">
      <c r="A23" s="17" t="inlineStr">
        <is>
          <t>도면3</t>
        </is>
      </c>
      <c r="B23" s="18" t="n"/>
      <c r="C23" s="19" t="inlineStr">
        <is>
          <t>C2</t>
        </is>
      </c>
      <c r="D23" s="18" t="inlineStr">
        <is>
          <t>C2-014</t>
        </is>
      </c>
      <c r="E23" s="14" t="inlineStr">
        <is>
          <t>종단면도, 계단단면도</t>
        </is>
      </c>
      <c r="F23" s="25" t="inlineStr">
        <is>
          <t>단면도</t>
        </is>
      </c>
      <c r="G23" s="21" t="n">
        <v>19060</v>
      </c>
      <c r="H23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3" s="21" t="n"/>
      <c r="J23" s="21" t="n"/>
      <c r="K23" s="21" t="inlineStr">
        <is>
          <t>high</t>
        </is>
      </c>
      <c r="L23" s="41" t="inlineStr">
        <is>
          <t>C2 규격: 428x407x20x35</t>
        </is>
      </c>
    </row>
    <row r="24" ht="50" customHeight="1">
      <c r="A24" s="17" t="inlineStr">
        <is>
          <t>도면3</t>
        </is>
      </c>
      <c r="B24" s="18" t="n"/>
      <c r="C24" s="19" t="inlineStr">
        <is>
          <t>C2</t>
        </is>
      </c>
      <c r="D24" s="18" t="inlineStr">
        <is>
          <t>C2-015</t>
        </is>
      </c>
      <c r="E24" s="14" t="inlineStr">
        <is>
          <t>종단면도, 계단단면도</t>
        </is>
      </c>
      <c r="F24" s="25" t="inlineStr">
        <is>
          <t>단면도</t>
        </is>
      </c>
      <c r="G24" s="21" t="n">
        <v>19060</v>
      </c>
      <c r="H24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4" s="21" t="n"/>
      <c r="J24" s="21" t="n"/>
      <c r="K24" s="21" t="inlineStr">
        <is>
          <t>high</t>
        </is>
      </c>
      <c r="L24" s="41" t="inlineStr">
        <is>
          <t>C2 규격: 428x407x20x35</t>
        </is>
      </c>
    </row>
    <row r="25" ht="50" customHeight="1">
      <c r="A25" s="17" t="inlineStr">
        <is>
          <t>도면3</t>
        </is>
      </c>
      <c r="B25" s="18" t="n"/>
      <c r="C25" s="19" t="inlineStr">
        <is>
          <t>C3</t>
        </is>
      </c>
      <c r="D25" s="18" t="inlineStr">
        <is>
          <t>C3-001</t>
        </is>
      </c>
      <c r="E25" s="14" t="inlineStr">
        <is>
          <t>종단면도, 계단단면도</t>
        </is>
      </c>
      <c r="F25" s="25" t="inlineStr">
        <is>
          <t>단면도</t>
        </is>
      </c>
      <c r="G25" s="21" t="n">
        <v>19060</v>
      </c>
      <c r="H25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5" s="21" t="n"/>
      <c r="J25" s="21" t="n"/>
      <c r="K25" s="21" t="inlineStr">
        <is>
          <t>high</t>
        </is>
      </c>
      <c r="L25" s="41" t="inlineStr">
        <is>
          <t>C3 규격: 400x400x13x21</t>
        </is>
      </c>
    </row>
    <row r="26" ht="50" customHeight="1">
      <c r="A26" s="17" t="inlineStr">
        <is>
          <t>도면3</t>
        </is>
      </c>
      <c r="B26" s="18" t="n"/>
      <c r="C26" s="19" t="inlineStr">
        <is>
          <t>C3</t>
        </is>
      </c>
      <c r="D26" s="18" t="inlineStr">
        <is>
          <t>C3-002</t>
        </is>
      </c>
      <c r="E26" s="14" t="inlineStr">
        <is>
          <t>종단면도, 계단단면도</t>
        </is>
      </c>
      <c r="F26" s="25" t="inlineStr">
        <is>
          <t>단면도</t>
        </is>
      </c>
      <c r="G26" s="21" t="n">
        <v>19060</v>
      </c>
      <c r="H26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6" s="21" t="n"/>
      <c r="J26" s="21" t="n"/>
      <c r="K26" s="21" t="inlineStr">
        <is>
          <t>high</t>
        </is>
      </c>
      <c r="L26" s="41" t="inlineStr">
        <is>
          <t>C3 규격: 400x400x13x21</t>
        </is>
      </c>
    </row>
    <row r="27" ht="50" customHeight="1">
      <c r="A27" s="17" t="inlineStr">
        <is>
          <t>도면3</t>
        </is>
      </c>
      <c r="B27" s="18" t="n"/>
      <c r="C27" s="19" t="inlineStr">
        <is>
          <t>C3</t>
        </is>
      </c>
      <c r="D27" s="18" t="inlineStr">
        <is>
          <t>C3-003</t>
        </is>
      </c>
      <c r="E27" s="14" t="inlineStr">
        <is>
          <t>종단면도, 계단단면도</t>
        </is>
      </c>
      <c r="F27" s="25" t="inlineStr">
        <is>
          <t>단면도</t>
        </is>
      </c>
      <c r="G27" s="21" t="n">
        <v>19060</v>
      </c>
      <c r="H27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7" s="21" t="n"/>
      <c r="J27" s="21" t="n"/>
      <c r="K27" s="21" t="inlineStr">
        <is>
          <t>high</t>
        </is>
      </c>
      <c r="L27" s="41" t="inlineStr">
        <is>
          <t>C3 규격: 400x400x13x21</t>
        </is>
      </c>
    </row>
    <row r="28" ht="50" customHeight="1">
      <c r="A28" s="17" t="inlineStr">
        <is>
          <t>도면3</t>
        </is>
      </c>
      <c r="B28" s="18" t="n"/>
      <c r="C28" s="19" t="inlineStr">
        <is>
          <t>C3</t>
        </is>
      </c>
      <c r="D28" s="18" t="inlineStr">
        <is>
          <t>C3-004</t>
        </is>
      </c>
      <c r="E28" s="14" t="inlineStr">
        <is>
          <t>종단면도, 계단단면도</t>
        </is>
      </c>
      <c r="F28" s="25" t="inlineStr">
        <is>
          <t>단면도</t>
        </is>
      </c>
      <c r="G28" s="21" t="n">
        <v>19060</v>
      </c>
      <c r="H28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8" s="21" t="n"/>
      <c r="J28" s="21" t="n"/>
      <c r="K28" s="21" t="inlineStr">
        <is>
          <t>high</t>
        </is>
      </c>
      <c r="L28" s="41" t="inlineStr">
        <is>
          <t>C3 규격: 400x400x13x21</t>
        </is>
      </c>
    </row>
    <row r="29" ht="50" customHeight="1">
      <c r="A29" s="17" t="inlineStr">
        <is>
          <t>도면3</t>
        </is>
      </c>
      <c r="B29" s="18" t="n"/>
      <c r="C29" s="19" t="inlineStr">
        <is>
          <t>C3</t>
        </is>
      </c>
      <c r="D29" s="18" t="inlineStr">
        <is>
          <t>C3-005</t>
        </is>
      </c>
      <c r="E29" s="14" t="inlineStr">
        <is>
          <t>종단면도, 계단단면도</t>
        </is>
      </c>
      <c r="F29" s="25" t="inlineStr">
        <is>
          <t>단면도</t>
        </is>
      </c>
      <c r="G29" s="21" t="n">
        <v>19060</v>
      </c>
      <c r="H29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29" s="21" t="n"/>
      <c r="J29" s="21" t="n"/>
      <c r="K29" s="21" t="inlineStr">
        <is>
          <t>high</t>
        </is>
      </c>
      <c r="L29" s="41" t="inlineStr">
        <is>
          <t>C3 규격: 400x400x13x21</t>
        </is>
      </c>
    </row>
    <row r="30" ht="50" customHeight="1">
      <c r="A30" s="17" t="inlineStr">
        <is>
          <t>도면3</t>
        </is>
      </c>
      <c r="B30" s="18" t="n"/>
      <c r="C30" s="19" t="inlineStr">
        <is>
          <t>C3</t>
        </is>
      </c>
      <c r="D30" s="18" t="inlineStr">
        <is>
          <t>C3-006</t>
        </is>
      </c>
      <c r="E30" s="14" t="inlineStr">
        <is>
          <t>종단면도, 계단단면도</t>
        </is>
      </c>
      <c r="F30" s="25" t="inlineStr">
        <is>
          <t>단면도</t>
        </is>
      </c>
      <c r="G30" s="21" t="n">
        <v>19060</v>
      </c>
      <c r="H30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30" s="21" t="n"/>
      <c r="J30" s="21" t="n"/>
      <c r="K30" s="21" t="inlineStr">
        <is>
          <t>high</t>
        </is>
      </c>
      <c r="L30" s="41" t="inlineStr">
        <is>
          <t>C3 규격: 400x400x13x21</t>
        </is>
      </c>
    </row>
    <row r="31" ht="50" customHeight="1">
      <c r="A31" s="17" t="inlineStr">
        <is>
          <t>도면3</t>
        </is>
      </c>
      <c r="B31" s="18" t="n"/>
      <c r="C31" s="19" t="inlineStr">
        <is>
          <t>C3</t>
        </is>
      </c>
      <c r="D31" s="18" t="inlineStr">
        <is>
          <t>C3-007</t>
        </is>
      </c>
      <c r="E31" s="14" t="inlineStr">
        <is>
          <t>종단면도, 계단단면도</t>
        </is>
      </c>
      <c r="F31" s="25" t="inlineStr">
        <is>
          <t>단면도</t>
        </is>
      </c>
      <c r="G31" s="21" t="n">
        <v>19060</v>
      </c>
      <c r="H31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31" s="21" t="n"/>
      <c r="J31" s="21" t="n"/>
      <c r="K31" s="21" t="inlineStr">
        <is>
          <t>high</t>
        </is>
      </c>
      <c r="L31" s="41" t="inlineStr">
        <is>
          <t>C3 규격: 400x400x13x21</t>
        </is>
      </c>
    </row>
    <row r="32" ht="50" customHeight="1">
      <c r="A32" s="17" t="inlineStr">
        <is>
          <t>도면3</t>
        </is>
      </c>
      <c r="B32" s="18" t="n"/>
      <c r="C32" s="19" t="inlineStr">
        <is>
          <t>C3</t>
        </is>
      </c>
      <c r="D32" s="18" t="inlineStr">
        <is>
          <t>C3-008</t>
        </is>
      </c>
      <c r="E32" s="14" t="inlineStr">
        <is>
          <t>종단면도, 계단단면도</t>
        </is>
      </c>
      <c r="F32" s="25" t="inlineStr">
        <is>
          <t>단면도</t>
        </is>
      </c>
      <c r="G32" s="21" t="n">
        <v>19060</v>
      </c>
      <c r="H32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32" s="21" t="n"/>
      <c r="J32" s="21" t="n"/>
      <c r="K32" s="21" t="inlineStr">
        <is>
          <t>high</t>
        </is>
      </c>
      <c r="L32" s="41" t="inlineStr">
        <is>
          <t>C3 규격: 400x400x13x21</t>
        </is>
      </c>
    </row>
    <row r="33" ht="50" customHeight="1">
      <c r="A33" s="17" t="inlineStr">
        <is>
          <t>도면3</t>
        </is>
      </c>
      <c r="B33" s="18" t="n"/>
      <c r="C33" s="19" t="inlineStr">
        <is>
          <t>C4</t>
        </is>
      </c>
      <c r="D33" s="18" t="inlineStr">
        <is>
          <t>C4-001</t>
        </is>
      </c>
      <c r="E33" s="14" t="inlineStr">
        <is>
          <t>종단면도, 계단단면도</t>
        </is>
      </c>
      <c r="F33" s="25" t="inlineStr">
        <is>
          <t>단면도</t>
        </is>
      </c>
      <c r="G33" s="21" t="n">
        <v>19060</v>
      </c>
      <c r="H33" s="14" t="inlineStr">
        <is>
          <t>종단면도 좌측 치수: 2층층고 8000 + 1층층고 8000 = 16000. 입면도 레벨 +360(1층바닥)~+16360(지붕바닥) 일치. 일람표상 부호당 단면 1개 → 연속 기둥 확정</t>
        </is>
      </c>
      <c r="I33" s="21" t="n"/>
      <c r="J33" s="21" t="n"/>
      <c r="K33" s="21" t="inlineStr">
        <is>
          <t>high</t>
        </is>
      </c>
      <c r="L33" s="41" t="inlineStr">
        <is>
          <t>C4 규격: 300x300x10x15</t>
        </is>
      </c>
    </row>
    <row r="34"/>
    <row r="35"/>
    <row r="36">
      <c r="A36" s="26" t="inlineStr">
        <is>
          <t>── 부호별 요약 (자동) ──</t>
        </is>
      </c>
    </row>
    <row r="37" ht="26" customHeight="1">
      <c r="A37" s="28" t="inlineStr">
        <is>
          <t>부호</t>
        </is>
      </c>
      <c r="B37" s="28" t="inlineStr">
        <is>
          <t>행 수</t>
        </is>
      </c>
      <c r="C37" s="28" t="inlineStr">
        <is>
          <t>총 길이(mm)</t>
        </is>
      </c>
      <c r="D37" s="28" t="inlineStr">
        <is>
          <t>평균 길이(mm)</t>
        </is>
      </c>
    </row>
    <row r="38">
      <c r="A38" s="35" t="inlineStr">
        <is>
          <t>C1</t>
        </is>
      </c>
      <c r="B38" s="36">
        <f>COUNTIF(C2:C33,A38)</f>
        <v/>
      </c>
      <c r="C38" s="36">
        <f>SUMIF(C2:C33,A38,G2:G33)</f>
        <v/>
      </c>
      <c r="D38" s="36">
        <f>IFERROR(AVERAGEIF(C2:C33,A38,G2:G33),"-")</f>
        <v/>
      </c>
    </row>
    <row r="39">
      <c r="A39" s="35" t="inlineStr">
        <is>
          <t>C2</t>
        </is>
      </c>
      <c r="B39" s="36">
        <f>COUNTIF(C2:C33,A39)</f>
        <v/>
      </c>
      <c r="C39" s="36">
        <f>SUMIF(C2:C33,A39,G2:G33)</f>
        <v/>
      </c>
      <c r="D39" s="36">
        <f>IFERROR(AVERAGEIF(C2:C33,A39,G2:G33),"-")</f>
        <v/>
      </c>
    </row>
    <row r="40">
      <c r="A40" s="35" t="inlineStr">
        <is>
          <t>C3</t>
        </is>
      </c>
      <c r="B40" s="36">
        <f>COUNTIF(C2:C33,A40)</f>
        <v/>
      </c>
      <c r="C40" s="36">
        <f>SUMIF(C2:C33,A40,G2:G33)</f>
        <v/>
      </c>
      <c r="D40" s="36">
        <f>IFERROR(AVERAGEIF(C2:C33,A40,G2:G33),"-")</f>
        <v/>
      </c>
    </row>
    <row r="41">
      <c r="A41" s="35" t="inlineStr">
        <is>
          <t>C4</t>
        </is>
      </c>
      <c r="B41" s="36">
        <f>COUNTIF(C2:C33,A41)</f>
        <v/>
      </c>
      <c r="C41" s="36">
        <f>SUMIF(C2:C33,A41,G2:G33)</f>
        <v/>
      </c>
      <c r="D41" s="36">
        <f>IFERROR(AVERAGEIF(C2:C33,A41,G2:G33),"-")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</cols>
  <sheetData>
    <row r="1" ht="31.5" customHeight="1">
      <c r="A1" s="6" t="inlineStr">
        <is>
          <t>도면</t>
        </is>
      </c>
      <c r="B1" s="6" t="inlineStr">
        <is>
          <t>동·구역</t>
        </is>
      </c>
      <c r="C1" s="6" t="inlineStr">
        <is>
          <t>부호</t>
        </is>
      </c>
      <c r="D1" s="6" t="inlineStr">
        <is>
          <t>인스턴스ID</t>
        </is>
      </c>
      <c r="E1" s="6" t="inlineStr">
        <is>
          <t>측정 소스 도면</t>
        </is>
      </c>
      <c r="F1" s="6" t="inlineStr">
        <is>
          <t>도면 종류</t>
        </is>
      </c>
      <c r="G1" s="6" t="inlineStr">
        <is>
          <t>길이(mm)</t>
        </is>
      </c>
      <c r="H1" s="6" t="inlineStr">
        <is>
          <t>측정 근거</t>
        </is>
      </c>
      <c r="I1" s="6" t="inlineStr">
        <is>
          <t>참조좌표 X</t>
        </is>
      </c>
      <c r="J1" s="6" t="inlineStr">
        <is>
          <t>참조좌표 Y</t>
        </is>
      </c>
      <c r="K1" s="6" t="inlineStr">
        <is>
          <t>신뢰도</t>
        </is>
      </c>
      <c r="L1" s="6" t="inlineStr">
        <is>
          <t>비고</t>
        </is>
      </c>
    </row>
    <row r="2">
      <c r="A2" s="7" t="inlineStr">
        <is>
          <t>도면3</t>
        </is>
      </c>
      <c r="B2" s="8" t="n"/>
      <c r="C2" s="9" t="inlineStr">
        <is>
          <t>CG1</t>
        </is>
      </c>
      <c r="D2" s="8" t="inlineStr">
        <is>
          <t>CG1-001</t>
        </is>
      </c>
      <c r="E2" s="10" t="n"/>
      <c r="F2" s="11" t="n"/>
      <c r="G2" s="11" t="n"/>
      <c r="H2" s="10" t="n"/>
      <c r="I2" s="11" t="n"/>
      <c r="J2" s="11" t="n"/>
      <c r="K2" s="11" t="n"/>
      <c r="L2" s="10" t="n"/>
    </row>
    <row r="3">
      <c r="A3" s="7" t="inlineStr">
        <is>
          <t>도면3</t>
        </is>
      </c>
      <c r="B3" s="8" t="n"/>
      <c r="C3" s="9" t="inlineStr">
        <is>
          <t>CG2</t>
        </is>
      </c>
      <c r="D3" s="8" t="inlineStr">
        <is>
          <t>CG2-001</t>
        </is>
      </c>
      <c r="E3" s="10" t="n"/>
      <c r="F3" s="11" t="n"/>
      <c r="G3" s="11" t="n"/>
      <c r="H3" s="10" t="n"/>
      <c r="I3" s="11" t="n"/>
      <c r="J3" s="11" t="n"/>
      <c r="K3" s="11" t="n"/>
      <c r="L3" s="10" t="n"/>
    </row>
    <row r="4">
      <c r="A4" s="7" t="inlineStr">
        <is>
          <t>도면3</t>
        </is>
      </c>
      <c r="B4" s="8" t="n"/>
      <c r="C4" s="9" t="inlineStr">
        <is>
          <t>G1</t>
        </is>
      </c>
      <c r="D4" s="8" t="inlineStr">
        <is>
          <t>G1-001</t>
        </is>
      </c>
      <c r="E4" s="10" t="n"/>
      <c r="F4" s="11" t="n"/>
      <c r="G4" s="11" t="n"/>
      <c r="H4" s="10" t="n"/>
      <c r="I4" s="11" t="n"/>
      <c r="J4" s="11" t="n"/>
      <c r="K4" s="11" t="n"/>
      <c r="L4" s="10" t="n"/>
    </row>
    <row r="5">
      <c r="A5" s="7" t="inlineStr">
        <is>
          <t>도면3</t>
        </is>
      </c>
      <c r="B5" s="8" t="n"/>
      <c r="C5" s="9" t="inlineStr">
        <is>
          <t>G2</t>
        </is>
      </c>
      <c r="D5" s="8" t="inlineStr">
        <is>
          <t>G2-001</t>
        </is>
      </c>
      <c r="E5" s="10" t="n"/>
      <c r="F5" s="11" t="n"/>
      <c r="G5" s="11" t="n"/>
      <c r="H5" s="10" t="n"/>
      <c r="I5" s="11" t="n"/>
      <c r="J5" s="11" t="n"/>
      <c r="K5" s="11" t="n"/>
      <c r="L5" s="10" t="n"/>
    </row>
    <row r="6">
      <c r="A6" s="7" t="inlineStr">
        <is>
          <t>도면3</t>
        </is>
      </c>
      <c r="B6" s="8" t="n"/>
      <c r="C6" s="9" t="inlineStr">
        <is>
          <t>G3</t>
        </is>
      </c>
      <c r="D6" s="8" t="inlineStr">
        <is>
          <t>G3-001</t>
        </is>
      </c>
      <c r="E6" s="10" t="n"/>
      <c r="F6" s="11" t="n"/>
      <c r="G6" s="11" t="n"/>
      <c r="H6" s="10" t="n"/>
      <c r="I6" s="11" t="n"/>
      <c r="J6" s="11" t="n"/>
      <c r="K6" s="11" t="n"/>
      <c r="L6" s="10" t="n"/>
    </row>
    <row r="7">
      <c r="A7" s="7" t="inlineStr">
        <is>
          <t>도면3</t>
        </is>
      </c>
      <c r="B7" s="8" t="n"/>
      <c r="C7" s="9" t="inlineStr">
        <is>
          <t>G4</t>
        </is>
      </c>
      <c r="D7" s="8" t="inlineStr">
        <is>
          <t>G4-001</t>
        </is>
      </c>
      <c r="E7" s="10" t="n"/>
      <c r="F7" s="11" t="n"/>
      <c r="G7" s="11" t="n"/>
      <c r="H7" s="10" t="n"/>
      <c r="I7" s="11" t="n"/>
      <c r="J7" s="11" t="n"/>
      <c r="K7" s="11" t="n"/>
      <c r="L7" s="10" t="n"/>
    </row>
    <row r="8">
      <c r="A8" s="7" t="inlineStr">
        <is>
          <t>도면3</t>
        </is>
      </c>
      <c r="B8" s="8" t="n"/>
      <c r="C8" s="9" t="inlineStr">
        <is>
          <t>G5</t>
        </is>
      </c>
      <c r="D8" s="8" t="inlineStr">
        <is>
          <t>G5-001</t>
        </is>
      </c>
      <c r="E8" s="10" t="n"/>
      <c r="F8" s="11" t="n"/>
      <c r="G8" s="11" t="n"/>
      <c r="H8" s="10" t="n"/>
      <c r="I8" s="11" t="n"/>
      <c r="J8" s="11" t="n"/>
      <c r="K8" s="11" t="n"/>
      <c r="L8" s="10" t="n"/>
    </row>
    <row r="9">
      <c r="A9" s="7" t="inlineStr">
        <is>
          <t>도면3</t>
        </is>
      </c>
      <c r="B9" s="8" t="n"/>
      <c r="C9" s="9" t="inlineStr">
        <is>
          <t>G6</t>
        </is>
      </c>
      <c r="D9" s="8" t="inlineStr">
        <is>
          <t>G6-001</t>
        </is>
      </c>
      <c r="E9" s="10" t="n"/>
      <c r="F9" s="11" t="n"/>
      <c r="G9" s="11" t="n"/>
      <c r="H9" s="10" t="n"/>
      <c r="I9" s="11" t="n"/>
      <c r="J9" s="11" t="n"/>
      <c r="K9" s="11" t="n"/>
      <c r="L9" s="10" t="n"/>
    </row>
    <row r="10">
      <c r="A10" s="7" t="inlineStr">
        <is>
          <t>도면3</t>
        </is>
      </c>
      <c r="B10" s="8" t="n"/>
      <c r="C10" s="9" t="inlineStr">
        <is>
          <t>MG1</t>
        </is>
      </c>
      <c r="D10" s="8" t="inlineStr">
        <is>
          <t>MG1-001</t>
        </is>
      </c>
      <c r="E10" s="10" t="n"/>
      <c r="F10" s="11" t="n"/>
      <c r="G10" s="11" t="n"/>
      <c r="H10" s="10" t="n"/>
      <c r="I10" s="11" t="n"/>
      <c r="J10" s="11" t="n"/>
      <c r="K10" s="11" t="n"/>
      <c r="L10" s="10" t="n"/>
    </row>
    <row r="11">
      <c r="A11" s="7" t="inlineStr">
        <is>
          <t>도면3</t>
        </is>
      </c>
      <c r="B11" s="8" t="n"/>
      <c r="C11" s="9" t="inlineStr">
        <is>
          <t>B1</t>
        </is>
      </c>
      <c r="D11" s="8" t="inlineStr">
        <is>
          <t>B1-001</t>
        </is>
      </c>
      <c r="E11" s="10" t="n"/>
      <c r="F11" s="11" t="n"/>
      <c r="G11" s="11" t="n"/>
      <c r="H11" s="10" t="n"/>
      <c r="I11" s="11" t="n"/>
      <c r="J11" s="11" t="n"/>
      <c r="K11" s="11" t="n"/>
      <c r="L11" s="10" t="n"/>
    </row>
    <row r="12">
      <c r="A12" s="7" t="inlineStr">
        <is>
          <t>도면3</t>
        </is>
      </c>
      <c r="B12" s="8" t="n"/>
      <c r="C12" s="9" t="inlineStr">
        <is>
          <t>B2</t>
        </is>
      </c>
      <c r="D12" s="8" t="inlineStr">
        <is>
          <t>B2-001</t>
        </is>
      </c>
      <c r="E12" s="10" t="n"/>
      <c r="F12" s="11" t="n"/>
      <c r="G12" s="11" t="n"/>
      <c r="H12" s="10" t="n"/>
      <c r="I12" s="11" t="n"/>
      <c r="J12" s="11" t="n"/>
      <c r="K12" s="11" t="n"/>
      <c r="L12" s="10" t="n"/>
    </row>
    <row r="13">
      <c r="A13" s="7" t="inlineStr">
        <is>
          <t>도면3</t>
        </is>
      </c>
      <c r="B13" s="8" t="n"/>
      <c r="C13" s="9" t="inlineStr">
        <is>
          <t>B3</t>
        </is>
      </c>
      <c r="D13" s="8" t="inlineStr">
        <is>
          <t>B3-001</t>
        </is>
      </c>
      <c r="E13" s="10" t="n"/>
      <c r="F13" s="11" t="n"/>
      <c r="G13" s="11" t="n"/>
      <c r="H13" s="10" t="n"/>
      <c r="I13" s="11" t="n"/>
      <c r="J13" s="11" t="n"/>
      <c r="K13" s="11" t="n"/>
      <c r="L13" s="10" t="n"/>
    </row>
    <row r="14">
      <c r="A14" s="7" t="inlineStr">
        <is>
          <t>도면3</t>
        </is>
      </c>
      <c r="B14" s="8" t="n"/>
      <c r="C14" s="9" t="inlineStr">
        <is>
          <t>CB1</t>
        </is>
      </c>
      <c r="D14" s="8" t="inlineStr">
        <is>
          <t>CB1-001</t>
        </is>
      </c>
      <c r="E14" s="10" t="n"/>
      <c r="F14" s="11" t="n"/>
      <c r="G14" s="11" t="n"/>
      <c r="H14" s="10" t="n"/>
      <c r="I14" s="11" t="n"/>
      <c r="J14" s="11" t="n"/>
      <c r="K14" s="11" t="n"/>
      <c r="L14" s="10" t="n"/>
    </row>
    <row r="15">
      <c r="A15" s="7" t="inlineStr">
        <is>
          <t>도면3</t>
        </is>
      </c>
      <c r="B15" s="8" t="n"/>
      <c r="C15" s="9" t="inlineStr">
        <is>
          <t>RG1</t>
        </is>
      </c>
      <c r="D15" s="8" t="inlineStr">
        <is>
          <t>RG1-001</t>
        </is>
      </c>
      <c r="E15" s="10" t="n"/>
      <c r="F15" s="11" t="n"/>
      <c r="G15" s="11" t="n"/>
      <c r="H15" s="10" t="n"/>
      <c r="I15" s="11" t="n"/>
      <c r="J15" s="11" t="n"/>
      <c r="K15" s="11" t="n"/>
      <c r="L15" s="10" t="n"/>
    </row>
    <row r="16">
      <c r="A16" s="7" t="inlineStr">
        <is>
          <t>도면3</t>
        </is>
      </c>
      <c r="B16" s="8" t="n"/>
      <c r="C16" s="9" t="inlineStr">
        <is>
          <t>RG2</t>
        </is>
      </c>
      <c r="D16" s="8" t="inlineStr">
        <is>
          <t>RG2-001</t>
        </is>
      </c>
      <c r="E16" s="10" t="n"/>
      <c r="F16" s="11" t="n"/>
      <c r="G16" s="11" t="n"/>
      <c r="H16" s="10" t="n"/>
      <c r="I16" s="11" t="n"/>
      <c r="J16" s="11" t="n"/>
      <c r="K16" s="11" t="n"/>
      <c r="L16" s="10" t="n"/>
    </row>
    <row r="17">
      <c r="A17" s="7" t="inlineStr">
        <is>
          <t>도면3</t>
        </is>
      </c>
      <c r="B17" s="8" t="n"/>
      <c r="C17" s="9" t="inlineStr">
        <is>
          <t>RG3</t>
        </is>
      </c>
      <c r="D17" s="8" t="inlineStr">
        <is>
          <t>RG3-001</t>
        </is>
      </c>
      <c r="E17" s="10" t="n"/>
      <c r="F17" s="11" t="n"/>
      <c r="G17" s="11" t="n"/>
      <c r="H17" s="10" t="n"/>
      <c r="I17" s="11" t="n"/>
      <c r="J17" s="11" t="n"/>
      <c r="K17" s="11" t="n"/>
      <c r="L17" s="10" t="n"/>
    </row>
    <row r="18">
      <c r="A18" s="7" t="inlineStr">
        <is>
          <t>도면3</t>
        </is>
      </c>
      <c r="B18" s="8" t="n"/>
      <c r="C18" s="9" t="inlineStr">
        <is>
          <t>RG4</t>
        </is>
      </c>
      <c r="D18" s="8" t="inlineStr">
        <is>
          <t>RG4-001</t>
        </is>
      </c>
      <c r="E18" s="10" t="n"/>
      <c r="F18" s="11" t="n"/>
      <c r="G18" s="11" t="n"/>
      <c r="H18" s="10" t="n"/>
      <c r="I18" s="11" t="n"/>
      <c r="J18" s="11" t="n"/>
      <c r="K18" s="11" t="n"/>
      <c r="L18" s="10" t="n"/>
    </row>
    <row r="21">
      <c r="A21" s="12" t="inlineStr">
        <is>
          <t>── 부호별 요약 (자동) ──</t>
        </is>
      </c>
    </row>
    <row r="22" ht="26" customHeight="1">
      <c r="A22" s="6" t="inlineStr">
        <is>
          <t>부호</t>
        </is>
      </c>
      <c r="B22" s="6" t="inlineStr">
        <is>
          <t>행 수</t>
        </is>
      </c>
      <c r="C22" s="6" t="inlineStr">
        <is>
          <t>총 길이(mm)</t>
        </is>
      </c>
      <c r="D22" s="6" t="inlineStr">
        <is>
          <t>평균 길이(mm)</t>
        </is>
      </c>
    </row>
    <row r="23">
      <c r="A23" s="8" t="inlineStr">
        <is>
          <t>CG1</t>
        </is>
      </c>
      <c r="B23" s="13">
        <f>COUNTIF(C2:C18,A23)</f>
        <v/>
      </c>
      <c r="C23" s="13">
        <f>SUMIF(C2:C18,A23,G2:G18)</f>
        <v/>
      </c>
      <c r="D23" s="13">
        <f>IFERROR(AVERAGEIF(C2:C18,A23,G2:G18),"-")</f>
        <v/>
      </c>
    </row>
    <row r="24">
      <c r="A24" s="8" t="inlineStr">
        <is>
          <t>CG2</t>
        </is>
      </c>
      <c r="B24" s="13">
        <f>COUNTIF(C2:C18,A24)</f>
        <v/>
      </c>
      <c r="C24" s="13">
        <f>SUMIF(C2:C18,A24,G2:G18)</f>
        <v/>
      </c>
      <c r="D24" s="13">
        <f>IFERROR(AVERAGEIF(C2:C18,A24,G2:G18),"-")</f>
        <v/>
      </c>
    </row>
    <row r="25">
      <c r="A25" s="8" t="inlineStr">
        <is>
          <t>G1</t>
        </is>
      </c>
      <c r="B25" s="13">
        <f>COUNTIF(C2:C18,A25)</f>
        <v/>
      </c>
      <c r="C25" s="13">
        <f>SUMIF(C2:C18,A25,G2:G18)</f>
        <v/>
      </c>
      <c r="D25" s="13">
        <f>IFERROR(AVERAGEIF(C2:C18,A25,G2:G18),"-")</f>
        <v/>
      </c>
    </row>
    <row r="26">
      <c r="A26" s="8" t="inlineStr">
        <is>
          <t>G2</t>
        </is>
      </c>
      <c r="B26" s="13">
        <f>COUNTIF(C2:C18,A26)</f>
        <v/>
      </c>
      <c r="C26" s="13">
        <f>SUMIF(C2:C18,A26,G2:G18)</f>
        <v/>
      </c>
      <c r="D26" s="13">
        <f>IFERROR(AVERAGEIF(C2:C18,A26,G2:G18),"-")</f>
        <v/>
      </c>
    </row>
    <row r="27">
      <c r="A27" s="8" t="inlineStr">
        <is>
          <t>G3</t>
        </is>
      </c>
      <c r="B27" s="13">
        <f>COUNTIF(C2:C18,A27)</f>
        <v/>
      </c>
      <c r="C27" s="13">
        <f>SUMIF(C2:C18,A27,G2:G18)</f>
        <v/>
      </c>
      <c r="D27" s="13">
        <f>IFERROR(AVERAGEIF(C2:C18,A27,G2:G18),"-")</f>
        <v/>
      </c>
    </row>
    <row r="28">
      <c r="A28" s="8" t="inlineStr">
        <is>
          <t>G4</t>
        </is>
      </c>
      <c r="B28" s="13">
        <f>COUNTIF(C2:C18,A28)</f>
        <v/>
      </c>
      <c r="C28" s="13">
        <f>SUMIF(C2:C18,A28,G2:G18)</f>
        <v/>
      </c>
      <c r="D28" s="13">
        <f>IFERROR(AVERAGEIF(C2:C18,A28,G2:G18),"-")</f>
        <v/>
      </c>
    </row>
    <row r="29">
      <c r="A29" s="8" t="inlineStr">
        <is>
          <t>G5</t>
        </is>
      </c>
      <c r="B29" s="13">
        <f>COUNTIF(C2:C18,A29)</f>
        <v/>
      </c>
      <c r="C29" s="13">
        <f>SUMIF(C2:C18,A29,G2:G18)</f>
        <v/>
      </c>
      <c r="D29" s="13">
        <f>IFERROR(AVERAGEIF(C2:C18,A29,G2:G18),"-")</f>
        <v/>
      </c>
    </row>
    <row r="30">
      <c r="A30" s="8" t="inlineStr">
        <is>
          <t>G6</t>
        </is>
      </c>
      <c r="B30" s="13">
        <f>COUNTIF(C2:C18,A30)</f>
        <v/>
      </c>
      <c r="C30" s="13">
        <f>SUMIF(C2:C18,A30,G2:G18)</f>
        <v/>
      </c>
      <c r="D30" s="13">
        <f>IFERROR(AVERAGEIF(C2:C18,A30,G2:G18),"-")</f>
        <v/>
      </c>
    </row>
    <row r="31">
      <c r="A31" s="8" t="inlineStr">
        <is>
          <t>MG1</t>
        </is>
      </c>
      <c r="B31" s="13">
        <f>COUNTIF(C2:C18,A31)</f>
        <v/>
      </c>
      <c r="C31" s="13">
        <f>SUMIF(C2:C18,A31,G2:G18)</f>
        <v/>
      </c>
      <c r="D31" s="13">
        <f>IFERROR(AVERAGEIF(C2:C18,A31,G2:G18),"-")</f>
        <v/>
      </c>
    </row>
    <row r="32">
      <c r="A32" s="8" t="inlineStr">
        <is>
          <t>B1</t>
        </is>
      </c>
      <c r="B32" s="13">
        <f>COUNTIF(C2:C18,A32)</f>
        <v/>
      </c>
      <c r="C32" s="13">
        <f>SUMIF(C2:C18,A32,G2:G18)</f>
        <v/>
      </c>
      <c r="D32" s="13">
        <f>IFERROR(AVERAGEIF(C2:C18,A32,G2:G18),"-")</f>
        <v/>
      </c>
    </row>
    <row r="33">
      <c r="A33" s="8" t="inlineStr">
        <is>
          <t>B2</t>
        </is>
      </c>
      <c r="B33" s="13">
        <f>COUNTIF(C2:C18,A33)</f>
        <v/>
      </c>
      <c r="C33" s="13">
        <f>SUMIF(C2:C18,A33,G2:G18)</f>
        <v/>
      </c>
      <c r="D33" s="13">
        <f>IFERROR(AVERAGEIF(C2:C18,A33,G2:G18),"-")</f>
        <v/>
      </c>
    </row>
    <row r="34">
      <c r="A34" s="8" t="inlineStr">
        <is>
          <t>B3</t>
        </is>
      </c>
      <c r="B34" s="13">
        <f>COUNTIF(C2:C18,A34)</f>
        <v/>
      </c>
      <c r="C34" s="13">
        <f>SUMIF(C2:C18,A34,G2:G18)</f>
        <v/>
      </c>
      <c r="D34" s="13">
        <f>IFERROR(AVERAGEIF(C2:C18,A34,G2:G18),"-")</f>
        <v/>
      </c>
    </row>
    <row r="35">
      <c r="A35" s="8" t="inlineStr">
        <is>
          <t>CB1</t>
        </is>
      </c>
      <c r="B35" s="13">
        <f>COUNTIF(C2:C18,A35)</f>
        <v/>
      </c>
      <c r="C35" s="13">
        <f>SUMIF(C2:C18,A35,G2:G18)</f>
        <v/>
      </c>
      <c r="D35" s="13">
        <f>IFERROR(AVERAGEIF(C2:C18,A35,G2:G18),"-")</f>
        <v/>
      </c>
    </row>
    <row r="36">
      <c r="A36" s="8" t="inlineStr">
        <is>
          <t>RG1</t>
        </is>
      </c>
      <c r="B36" s="13">
        <f>COUNTIF(C2:C18,A36)</f>
        <v/>
      </c>
      <c r="C36" s="13">
        <f>SUMIF(C2:C18,A36,G2:G18)</f>
        <v/>
      </c>
      <c r="D36" s="13">
        <f>IFERROR(AVERAGEIF(C2:C18,A36,G2:G18),"-")</f>
        <v/>
      </c>
    </row>
    <row r="37">
      <c r="A37" s="8" t="inlineStr">
        <is>
          <t>RG2</t>
        </is>
      </c>
      <c r="B37" s="13">
        <f>COUNTIF(C2:C18,A37)</f>
        <v/>
      </c>
      <c r="C37" s="13">
        <f>SUMIF(C2:C18,A37,G2:G18)</f>
        <v/>
      </c>
      <c r="D37" s="13">
        <f>IFERROR(AVERAGEIF(C2:C18,A37,G2:G18),"-")</f>
        <v/>
      </c>
    </row>
    <row r="38">
      <c r="A38" s="8" t="inlineStr">
        <is>
          <t>RG3</t>
        </is>
      </c>
      <c r="B38" s="13">
        <f>COUNTIF(C2:C18,A38)</f>
        <v/>
      </c>
      <c r="C38" s="13">
        <f>SUMIF(C2:C18,A38,G2:G18)</f>
        <v/>
      </c>
      <c r="D38" s="13">
        <f>IFERROR(AVERAGEIF(C2:C18,A38,G2:G18),"-")</f>
        <v/>
      </c>
    </row>
    <row r="39">
      <c r="A39" s="8" t="inlineStr">
        <is>
          <t>RG4</t>
        </is>
      </c>
      <c r="B39" s="13">
        <f>COUNTIF(C2:C18,A39)</f>
        <v/>
      </c>
      <c r="C39" s="13">
        <f>SUMIF(C2:C18,A39,G2:G18)</f>
        <v/>
      </c>
      <c r="D39" s="13">
        <f>IFERROR(AVERAGEIF(C2:C18,A39,G2:G18),"-")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zoomScaleNormal="100" workbookViewId="0">
      <pane ySplit="1" topLeftCell="A2" activePane="bottomLeft" state="frozen"/>
      <selection pane="bottomLeft" activeCell="L10" sqref="L10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</cols>
  <sheetData>
    <row r="1" ht="31.5" customHeight="1">
      <c r="A1" s="30" t="inlineStr">
        <is>
          <t>도면</t>
        </is>
      </c>
      <c r="B1" s="30" t="inlineStr">
        <is>
          <t>동·구역</t>
        </is>
      </c>
      <c r="C1" s="30" t="inlineStr">
        <is>
          <t>부호</t>
        </is>
      </c>
      <c r="D1" s="30" t="inlineStr">
        <is>
          <t>인스턴스ID</t>
        </is>
      </c>
      <c r="E1" s="30" t="inlineStr">
        <is>
          <t>측정 소스 도면</t>
        </is>
      </c>
      <c r="F1" s="30" t="inlineStr">
        <is>
          <t>도면 종류</t>
        </is>
      </c>
      <c r="G1" s="30" t="inlineStr">
        <is>
          <t>길이(mm)</t>
        </is>
      </c>
      <c r="H1" s="30" t="inlineStr">
        <is>
          <t>측정 근거</t>
        </is>
      </c>
      <c r="I1" s="30" t="inlineStr">
        <is>
          <t>참조좌표 X</t>
        </is>
      </c>
      <c r="J1" s="30" t="inlineStr">
        <is>
          <t>참조좌표 Y</t>
        </is>
      </c>
      <c r="K1" s="30" t="inlineStr">
        <is>
          <t>신뢰도</t>
        </is>
      </c>
      <c r="L1" s="30" t="inlineStr">
        <is>
          <t>비고</t>
        </is>
      </c>
    </row>
    <row r="2" ht="37.5" customHeight="1">
      <c r="A2" s="31" t="inlineStr">
        <is>
          <t>도면4</t>
        </is>
      </c>
      <c r="B2" s="8" t="n"/>
      <c r="C2" s="9" t="inlineStr">
        <is>
          <t>SC1</t>
        </is>
      </c>
      <c r="D2" s="8" t="inlineStr">
        <is>
          <t>SC1-001</t>
        </is>
      </c>
      <c r="E2" s="39" t="inlineStr">
        <is>
          <t>종단면도, 횡단면도</t>
        </is>
      </c>
      <c r="F2" s="33" t="inlineStr">
        <is>
          <t>단면도</t>
        </is>
      </c>
      <c r="G2" s="11" t="n">
        <v>9000</v>
      </c>
      <c r="H2" s="32" t="inlineStr">
        <is>
          <t>종단면도 좌측 치수: 1층바닥(SL+100) ~ 지붕바닥(SL+7,100) = 7,000mm. DXF 직접 측정으로 검증.</t>
        </is>
      </c>
      <c r="I2" s="11" t="n"/>
      <c r="J2" s="11" t="n"/>
      <c r="K2" s="11" t="inlineStr">
        <is>
          <t>high</t>
        </is>
      </c>
      <c r="L2" s="42" t="inlineStr">
        <is>
          <t>SC1 규격: H 350x175x7/11</t>
        </is>
      </c>
    </row>
    <row r="3" ht="37.5" customHeight="1">
      <c r="A3" s="31" t="inlineStr">
        <is>
          <t>도면4</t>
        </is>
      </c>
      <c r="B3" s="8" t="n"/>
      <c r="C3" s="9" t="inlineStr">
        <is>
          <t>SC1</t>
        </is>
      </c>
      <c r="D3" s="8" t="inlineStr">
        <is>
          <t>SC1-002</t>
        </is>
      </c>
      <c r="E3" s="39" t="inlineStr">
        <is>
          <t>종단면도, 횡단면도</t>
        </is>
      </c>
      <c r="F3" s="33" t="inlineStr">
        <is>
          <t>단면도</t>
        </is>
      </c>
      <c r="G3" s="11" t="n">
        <v>9000</v>
      </c>
      <c r="H3" s="32" t="inlineStr">
        <is>
          <t>종단면도 좌측 치수: 1층바닥(SL+100) ~ 지붕바닥(SL+7,100) = 7,000mm. DXF 직접 측정으로 검증.</t>
        </is>
      </c>
      <c r="I3" s="11" t="n"/>
      <c r="J3" s="11" t="n"/>
      <c r="K3" s="11" t="inlineStr">
        <is>
          <t>high</t>
        </is>
      </c>
      <c r="L3" s="42" t="inlineStr">
        <is>
          <t>SC1 규격: H 350x175x7/11</t>
        </is>
      </c>
    </row>
    <row r="4" ht="37.5" customHeight="1">
      <c r="A4" s="31" t="inlineStr">
        <is>
          <t>도면4</t>
        </is>
      </c>
      <c r="B4" s="8" t="n"/>
      <c r="C4" s="9" t="inlineStr">
        <is>
          <t>SC1</t>
        </is>
      </c>
      <c r="D4" s="8" t="inlineStr">
        <is>
          <t>SC1-003</t>
        </is>
      </c>
      <c r="E4" s="39" t="inlineStr">
        <is>
          <t>종단면도, 횡단면도</t>
        </is>
      </c>
      <c r="F4" s="33" t="inlineStr">
        <is>
          <t>단면도</t>
        </is>
      </c>
      <c r="G4" s="11" t="n">
        <v>9000</v>
      </c>
      <c r="H4" s="32" t="inlineStr">
        <is>
          <t>종단면도 좌측 치수: 1층바닥(SL+100) ~ 지붕바닥(SL+7,100) = 7,000mm. DXF 직접 측정으로 검증.</t>
        </is>
      </c>
      <c r="I4" s="11" t="n"/>
      <c r="J4" s="11" t="n"/>
      <c r="K4" s="11" t="inlineStr">
        <is>
          <t>high</t>
        </is>
      </c>
      <c r="L4" s="42" t="inlineStr">
        <is>
          <t>SC1 규격: H 350x175x7/11</t>
        </is>
      </c>
    </row>
    <row r="5" ht="37.5" customHeight="1">
      <c r="A5" s="31" t="inlineStr">
        <is>
          <t>도면4</t>
        </is>
      </c>
      <c r="B5" s="8" t="n"/>
      <c r="C5" s="9" t="inlineStr">
        <is>
          <t>SC1</t>
        </is>
      </c>
      <c r="D5" s="8" t="inlineStr">
        <is>
          <t>SC1-004</t>
        </is>
      </c>
      <c r="E5" s="39" t="inlineStr">
        <is>
          <t>종단면도, 횡단면도</t>
        </is>
      </c>
      <c r="F5" s="33" t="inlineStr">
        <is>
          <t>단면도</t>
        </is>
      </c>
      <c r="G5" s="11" t="n">
        <v>9000</v>
      </c>
      <c r="H5" s="32" t="inlineStr">
        <is>
          <t>종단면도 좌측 치수: 1층바닥(SL+100) ~ 지붕바닥(SL+7,100) = 7,000mm. DXF 직접 측정으로 검증.</t>
        </is>
      </c>
      <c r="I5" s="11" t="n"/>
      <c r="J5" s="11" t="n"/>
      <c r="K5" s="11" t="inlineStr">
        <is>
          <t>high</t>
        </is>
      </c>
      <c r="L5" s="42" t="inlineStr">
        <is>
          <t>SC1 규격: H 350x175x7/11</t>
        </is>
      </c>
    </row>
    <row r="6" ht="37.5" customHeight="1">
      <c r="A6" s="31" t="inlineStr">
        <is>
          <t>도면4</t>
        </is>
      </c>
      <c r="B6" s="8" t="n"/>
      <c r="C6" s="9" t="inlineStr">
        <is>
          <t>SC1</t>
        </is>
      </c>
      <c r="D6" s="8" t="inlineStr">
        <is>
          <t>SC1-005</t>
        </is>
      </c>
      <c r="E6" s="39" t="inlineStr">
        <is>
          <t>종단면도, 횡단면도</t>
        </is>
      </c>
      <c r="F6" s="33" t="inlineStr">
        <is>
          <t>단면도</t>
        </is>
      </c>
      <c r="G6" s="11" t="n">
        <v>9000</v>
      </c>
      <c r="H6" s="32" t="inlineStr">
        <is>
          <t>종단면도 좌측 치수: 1층바닥(SL+100) ~ 지붕바닥(SL+7,100) = 7,000mm. DXF 직접 측정으로 검증.</t>
        </is>
      </c>
      <c r="I6" s="11" t="n"/>
      <c r="J6" s="11" t="n"/>
      <c r="K6" s="11" t="inlineStr">
        <is>
          <t>high</t>
        </is>
      </c>
      <c r="L6" s="42" t="inlineStr">
        <is>
          <t>SC1 규격: H 350x175x7/11</t>
        </is>
      </c>
    </row>
    <row r="7" ht="37.5" customHeight="1">
      <c r="A7" s="31" t="inlineStr">
        <is>
          <t>도면4</t>
        </is>
      </c>
      <c r="B7" s="8" t="n"/>
      <c r="C7" s="9" t="inlineStr">
        <is>
          <t>SC1</t>
        </is>
      </c>
      <c r="D7" s="8" t="inlineStr">
        <is>
          <t>SC1-006</t>
        </is>
      </c>
      <c r="E7" s="39" t="inlineStr">
        <is>
          <t>종단면도, 횡단면도</t>
        </is>
      </c>
      <c r="F7" s="33" t="inlineStr">
        <is>
          <t>단면도</t>
        </is>
      </c>
      <c r="G7" s="11" t="n">
        <v>9000</v>
      </c>
      <c r="H7" s="32" t="inlineStr">
        <is>
          <t>종단면도 좌측 치수: 1층바닥(SL+100) ~ 지붕바닥(SL+7,100) = 7,000mm. DXF 직접 측정으로 검증.</t>
        </is>
      </c>
      <c r="I7" s="11" t="n"/>
      <c r="J7" s="11" t="n"/>
      <c r="K7" s="11" t="inlineStr">
        <is>
          <t>high</t>
        </is>
      </c>
      <c r="L7" s="42" t="inlineStr">
        <is>
          <t>SC1 규격: H 350x175x7/11</t>
        </is>
      </c>
    </row>
    <row r="8" ht="37.5" customHeight="1">
      <c r="A8" s="31" t="inlineStr">
        <is>
          <t>도면4</t>
        </is>
      </c>
      <c r="B8" s="8" t="n"/>
      <c r="C8" s="9" t="inlineStr">
        <is>
          <t>SC1</t>
        </is>
      </c>
      <c r="D8" s="8" t="inlineStr">
        <is>
          <t>SC1-007</t>
        </is>
      </c>
      <c r="E8" s="39" t="inlineStr">
        <is>
          <t>종단면도, 횡단면도</t>
        </is>
      </c>
      <c r="F8" s="33" t="inlineStr">
        <is>
          <t>단면도</t>
        </is>
      </c>
      <c r="G8" s="11" t="n">
        <v>9000</v>
      </c>
      <c r="H8" s="32" t="inlineStr">
        <is>
          <t>종단면도 좌측 치수: 1층바닥(SL+100) ~ 지붕바닥(SL+7,100) = 7,000mm. DXF 직접 측정으로 검증.</t>
        </is>
      </c>
      <c r="I8" s="11" t="n"/>
      <c r="J8" s="11" t="n"/>
      <c r="K8" s="11" t="inlineStr">
        <is>
          <t>high</t>
        </is>
      </c>
      <c r="L8" s="42" t="inlineStr">
        <is>
          <t>SC1 규격: H 350x175x7/11</t>
        </is>
      </c>
    </row>
    <row r="9" ht="37.5" customHeight="1">
      <c r="A9" s="31" t="inlineStr">
        <is>
          <t>도면4</t>
        </is>
      </c>
      <c r="B9" s="8" t="n"/>
      <c r="C9" s="9" t="inlineStr">
        <is>
          <t>SC1</t>
        </is>
      </c>
      <c r="D9" s="8" t="inlineStr">
        <is>
          <t>SC1-008</t>
        </is>
      </c>
      <c r="E9" s="39" t="inlineStr">
        <is>
          <t>종단면도, 횡단면도</t>
        </is>
      </c>
      <c r="F9" s="33" t="inlineStr">
        <is>
          <t>단면도</t>
        </is>
      </c>
      <c r="G9" s="11" t="n">
        <v>9000</v>
      </c>
      <c r="H9" s="32" t="inlineStr">
        <is>
          <t>종단면도 좌측 치수: 1층바닥(SL+100) ~ 지붕바닥(SL+7,100) = 7,000mm. DXF 직접 측정으로 검증.</t>
        </is>
      </c>
      <c r="I9" s="11" t="n"/>
      <c r="J9" s="11" t="n"/>
      <c r="K9" s="11" t="inlineStr">
        <is>
          <t>high</t>
        </is>
      </c>
      <c r="L9" s="42" t="inlineStr">
        <is>
          <t>SC1 규격: H 350x175x7/11</t>
        </is>
      </c>
    </row>
    <row r="10" ht="37.5" customHeight="1">
      <c r="A10" s="31" t="inlineStr">
        <is>
          <t>도면4</t>
        </is>
      </c>
      <c r="B10" s="8" t="n"/>
      <c r="C10" s="9" t="inlineStr">
        <is>
          <t>SC1</t>
        </is>
      </c>
      <c r="D10" s="8" t="inlineStr">
        <is>
          <t>SC1-009</t>
        </is>
      </c>
      <c r="E10" s="39" t="inlineStr">
        <is>
          <t>종단면도, 횡단면도</t>
        </is>
      </c>
      <c r="F10" s="33" t="inlineStr">
        <is>
          <t>단면도</t>
        </is>
      </c>
      <c r="G10" s="11" t="n">
        <v>9000</v>
      </c>
      <c r="H10" s="32" t="inlineStr">
        <is>
          <t>종단면도 좌측 치수: 1층바닥(SL+100) ~ 지붕바닥(SL+7,100) = 7,000mm. DXF 직접 측정으로 검증.</t>
        </is>
      </c>
      <c r="I10" s="11" t="n"/>
      <c r="J10" s="11" t="n"/>
      <c r="K10" s="11" t="inlineStr">
        <is>
          <t>high</t>
        </is>
      </c>
      <c r="L10" s="42" t="inlineStr">
        <is>
          <t>SC1 규격: H 350x175x7/11</t>
        </is>
      </c>
    </row>
    <row r="11" ht="37.5" customHeight="1">
      <c r="A11" s="31" t="inlineStr">
        <is>
          <t>도면4</t>
        </is>
      </c>
      <c r="B11" s="8" t="n"/>
      <c r="C11" s="9" t="inlineStr">
        <is>
          <t>SC1</t>
        </is>
      </c>
      <c r="D11" s="8" t="inlineStr">
        <is>
          <t>SC1-010</t>
        </is>
      </c>
      <c r="E11" s="39" t="inlineStr">
        <is>
          <t>종단면도, 횡단면도</t>
        </is>
      </c>
      <c r="F11" s="33" t="inlineStr">
        <is>
          <t>단면도</t>
        </is>
      </c>
      <c r="G11" s="11" t="n">
        <v>9000</v>
      </c>
      <c r="H11" s="32" t="inlineStr">
        <is>
          <t>종단면도 좌측 치수: 1층바닥(SL+100) ~ 지붕바닥(SL+7,100) = 7,000mm. DXF 직접 측정으로 검증.</t>
        </is>
      </c>
      <c r="I11" s="11" t="n"/>
      <c r="J11" s="11" t="n"/>
      <c r="K11" s="11" t="inlineStr">
        <is>
          <t>high</t>
        </is>
      </c>
      <c r="L11" s="42" t="inlineStr">
        <is>
          <t>SC1 규격: H 350x175x7/11</t>
        </is>
      </c>
    </row>
    <row r="12" ht="37.5" customHeight="1">
      <c r="A12" s="31" t="inlineStr">
        <is>
          <t>도면4</t>
        </is>
      </c>
      <c r="B12" s="8" t="n"/>
      <c r="C12" s="9" t="inlineStr">
        <is>
          <t>SC1</t>
        </is>
      </c>
      <c r="D12" s="8" t="inlineStr">
        <is>
          <t>SC1-011</t>
        </is>
      </c>
      <c r="E12" s="39" t="inlineStr">
        <is>
          <t>종단면도, 횡단면도</t>
        </is>
      </c>
      <c r="F12" s="33" t="inlineStr">
        <is>
          <t>단면도</t>
        </is>
      </c>
      <c r="G12" s="11" t="n">
        <v>9000</v>
      </c>
      <c r="H12" s="32" t="inlineStr">
        <is>
          <t>종단면도 좌측 치수: 1층바닥(SL+100) ~ 지붕바닥(SL+7,100) = 7,000mm. DXF 직접 측정으로 검증.</t>
        </is>
      </c>
      <c r="I12" s="11" t="n"/>
      <c r="J12" s="11" t="n"/>
      <c r="K12" s="11" t="inlineStr">
        <is>
          <t>high</t>
        </is>
      </c>
      <c r="L12" s="42" t="inlineStr">
        <is>
          <t>SC1 규격: H 350x175x7/11</t>
        </is>
      </c>
    </row>
    <row r="13" ht="37.5" customHeight="1">
      <c r="A13" s="31" t="inlineStr">
        <is>
          <t>도면4</t>
        </is>
      </c>
      <c r="B13" s="8" t="n"/>
      <c r="C13" s="9" t="inlineStr">
        <is>
          <t>SC1</t>
        </is>
      </c>
      <c r="D13" s="8" t="inlineStr">
        <is>
          <t>SC1-012</t>
        </is>
      </c>
      <c r="E13" s="39" t="inlineStr">
        <is>
          <t>종단면도, 횡단면도</t>
        </is>
      </c>
      <c r="F13" s="33" t="inlineStr">
        <is>
          <t>단면도</t>
        </is>
      </c>
      <c r="G13" s="11" t="n">
        <v>9000</v>
      </c>
      <c r="H13" s="32" t="inlineStr">
        <is>
          <t>종단면도 좌측 치수: 1층바닥(SL+100) ~ 지붕바닥(SL+7,100) = 7,000mm. DXF 직접 측정으로 검증.</t>
        </is>
      </c>
      <c r="I13" s="11" t="n"/>
      <c r="J13" s="11" t="n"/>
      <c r="K13" s="11" t="inlineStr">
        <is>
          <t>high</t>
        </is>
      </c>
      <c r="L13" s="42" t="inlineStr">
        <is>
          <t>SC1 규격: H 350x175x7/11</t>
        </is>
      </c>
    </row>
    <row r="14" ht="37.5" customHeight="1">
      <c r="A14" s="31" t="inlineStr">
        <is>
          <t>도면4</t>
        </is>
      </c>
      <c r="B14" s="8" t="n"/>
      <c r="C14" s="9" t="inlineStr">
        <is>
          <t>SC1</t>
        </is>
      </c>
      <c r="D14" s="8" t="inlineStr">
        <is>
          <t>SC1-013</t>
        </is>
      </c>
      <c r="E14" s="39" t="inlineStr">
        <is>
          <t>종단면도, 횡단면도</t>
        </is>
      </c>
      <c r="F14" s="33" t="inlineStr">
        <is>
          <t>단면도</t>
        </is>
      </c>
      <c r="G14" s="11" t="n">
        <v>9000</v>
      </c>
      <c r="H14" s="32" t="inlineStr">
        <is>
          <t>종단면도 좌측 치수: 1층바닥(SL+100) ~ 지붕바닥(SL+7,100) = 7,000mm. DXF 직접 측정으로 검증.</t>
        </is>
      </c>
      <c r="I14" s="11" t="n"/>
      <c r="J14" s="11" t="n"/>
      <c r="K14" s="11" t="inlineStr">
        <is>
          <t>high</t>
        </is>
      </c>
      <c r="L14" s="42" t="inlineStr">
        <is>
          <t>SC1 규격: H 350x175x7/11</t>
        </is>
      </c>
    </row>
    <row r="15" ht="37.5" customHeight="1">
      <c r="A15" s="31" t="inlineStr">
        <is>
          <t>도면4</t>
        </is>
      </c>
      <c r="B15" s="8" t="n"/>
      <c r="C15" s="9" t="inlineStr">
        <is>
          <t>SC1</t>
        </is>
      </c>
      <c r="D15" s="8" t="inlineStr">
        <is>
          <t>SC1-014</t>
        </is>
      </c>
      <c r="E15" s="39" t="inlineStr">
        <is>
          <t>종단면도, 횡단면도</t>
        </is>
      </c>
      <c r="F15" s="33" t="inlineStr">
        <is>
          <t>단면도</t>
        </is>
      </c>
      <c r="G15" s="11" t="n">
        <v>9000</v>
      </c>
      <c r="H15" s="32" t="inlineStr">
        <is>
          <t>종단면도 좌측 치수: 1층바닥(SL+100) ~ 지붕바닥(SL+7,100) = 7,000mm. DXF 직접 측정으로 검증.</t>
        </is>
      </c>
      <c r="I15" s="11" t="n"/>
      <c r="J15" s="11" t="n"/>
      <c r="K15" s="11" t="inlineStr">
        <is>
          <t>high</t>
        </is>
      </c>
      <c r="L15" s="42" t="inlineStr">
        <is>
          <t>SC1 규격: H 350x175x7/11</t>
        </is>
      </c>
    </row>
    <row r="16" ht="37.5" customHeight="1">
      <c r="A16" s="31" t="inlineStr">
        <is>
          <t>도면4</t>
        </is>
      </c>
      <c r="B16" s="8" t="n"/>
      <c r="C16" s="9" t="inlineStr">
        <is>
          <t>SC2</t>
        </is>
      </c>
      <c r="D16" s="8" t="inlineStr">
        <is>
          <t>SC2-001</t>
        </is>
      </c>
      <c r="E16" s="39" t="inlineStr">
        <is>
          <t>종단면도, 횡단면도</t>
        </is>
      </c>
      <c r="F16" s="33" t="inlineStr">
        <is>
          <t>단면도</t>
        </is>
      </c>
      <c r="G16" s="11" t="n">
        <v>9000</v>
      </c>
      <c r="H16" s="32" t="inlineStr">
        <is>
          <t>종단면도 좌측 치수: 1층바닥(SL+100) ~ 지붕바닥(SL+7,100) = 7,000mm. DXF 직접 측정으로 검증.</t>
        </is>
      </c>
      <c r="I16" s="11" t="n"/>
      <c r="J16" s="11" t="n"/>
      <c r="K16" s="11" t="inlineStr">
        <is>
          <t>high</t>
        </is>
      </c>
      <c r="L16" s="42" t="inlineStr">
        <is>
          <t>SC2 규격: H 194x150x6/9</t>
        </is>
      </c>
    </row>
    <row r="17" ht="37.5" customHeight="1">
      <c r="A17" s="31" t="inlineStr">
        <is>
          <t>도면4</t>
        </is>
      </c>
      <c r="B17" s="8" t="n"/>
      <c r="C17" s="9" t="inlineStr">
        <is>
          <t>SC2</t>
        </is>
      </c>
      <c r="D17" s="8" t="inlineStr">
        <is>
          <t>SC2-002</t>
        </is>
      </c>
      <c r="E17" s="39" t="inlineStr">
        <is>
          <t>종단면도, 횡단면도</t>
        </is>
      </c>
      <c r="F17" s="33" t="inlineStr">
        <is>
          <t>단면도</t>
        </is>
      </c>
      <c r="G17" s="11" t="n">
        <v>9000</v>
      </c>
      <c r="H17" s="32" t="inlineStr">
        <is>
          <t>종단면도 좌측 치수: 1층바닥(SL+100) ~ 지붕바닥(SL+7,100) = 7,000mm. DXF 직접 측정으로 검증.</t>
        </is>
      </c>
      <c r="I17" s="11" t="n"/>
      <c r="J17" s="11" t="n"/>
      <c r="K17" s="11" t="inlineStr">
        <is>
          <t>high</t>
        </is>
      </c>
      <c r="L17" s="42" t="inlineStr">
        <is>
          <t>SC2 규격: H 194x150x6/9</t>
        </is>
      </c>
    </row>
    <row r="18" ht="37.5" customHeight="1">
      <c r="A18" s="31" t="inlineStr">
        <is>
          <t>도면4</t>
        </is>
      </c>
      <c r="B18" s="8" t="n"/>
      <c r="C18" s="9" t="inlineStr">
        <is>
          <t>SC2</t>
        </is>
      </c>
      <c r="D18" s="8" t="inlineStr">
        <is>
          <t>SC2-003</t>
        </is>
      </c>
      <c r="E18" s="39" t="inlineStr">
        <is>
          <t>종단면도, 횡단면도</t>
        </is>
      </c>
      <c r="F18" s="33" t="inlineStr">
        <is>
          <t>단면도</t>
        </is>
      </c>
      <c r="G18" s="11" t="n">
        <v>9000</v>
      </c>
      <c r="H18" s="32" t="inlineStr">
        <is>
          <t>종단면도 좌측 치수: 1층바닥(SL+100) ~ 지붕바닥(SL+7,100) = 7,000mm. DXF 직접 측정으로 검증.</t>
        </is>
      </c>
      <c r="I18" s="11" t="n"/>
      <c r="J18" s="11" t="n"/>
      <c r="K18" s="11" t="inlineStr">
        <is>
          <t>high</t>
        </is>
      </c>
      <c r="L18" s="42" t="inlineStr">
        <is>
          <t>SC2 규격: H 194x150x6/9</t>
        </is>
      </c>
    </row>
    <row r="19" ht="37.5" customHeight="1">
      <c r="A19" s="31" t="inlineStr">
        <is>
          <t>도면4</t>
        </is>
      </c>
      <c r="B19" s="8" t="n"/>
      <c r="C19" s="9" t="inlineStr">
        <is>
          <t>SC2</t>
        </is>
      </c>
      <c r="D19" s="8" t="inlineStr">
        <is>
          <t>SC2-004</t>
        </is>
      </c>
      <c r="E19" s="39" t="inlineStr">
        <is>
          <t>종단면도, 횡단면도</t>
        </is>
      </c>
      <c r="F19" s="33" t="inlineStr">
        <is>
          <t>단면도</t>
        </is>
      </c>
      <c r="G19" s="11" t="n">
        <v>9000</v>
      </c>
      <c r="H19" s="32" t="inlineStr">
        <is>
          <t>종단면도 좌측 치수: 1층바닥(SL+100) ~ 지붕바닥(SL+7,100) = 7,000mm. DXF 직접 측정으로 검증.</t>
        </is>
      </c>
      <c r="I19" s="11" t="n"/>
      <c r="J19" s="11" t="n"/>
      <c r="K19" s="11" t="inlineStr">
        <is>
          <t>high</t>
        </is>
      </c>
      <c r="L19" s="42" t="inlineStr">
        <is>
          <t>SC2 규격: H 194x150x6/9</t>
        </is>
      </c>
    </row>
    <row r="20"/>
    <row r="21"/>
    <row r="22">
      <c r="A22" s="29" t="inlineStr">
        <is>
          <t>── 부호별 요약 (자동) ──</t>
        </is>
      </c>
    </row>
    <row r="23" ht="26" customHeight="1">
      <c r="A23" s="34" t="inlineStr">
        <is>
          <t>부호</t>
        </is>
      </c>
      <c r="B23" s="34" t="inlineStr">
        <is>
          <t>행 수</t>
        </is>
      </c>
      <c r="C23" s="34" t="inlineStr">
        <is>
          <t>총 길이(mm)</t>
        </is>
      </c>
      <c r="D23" s="34" t="inlineStr">
        <is>
          <t>평균 길이(mm)</t>
        </is>
      </c>
    </row>
    <row r="24">
      <c r="A24" s="8" t="inlineStr">
        <is>
          <t>SC1</t>
        </is>
      </c>
      <c r="B24" s="13">
        <f>COUNTIF(C2:C19,A24)</f>
        <v/>
      </c>
      <c r="C24" s="13">
        <f>SUMIF(C2:C19,A24,G2:G19)</f>
        <v/>
      </c>
      <c r="D24" s="13">
        <f>IFERROR(AVERAGEIF(C2:C19,A24,G2:G19),"-")</f>
        <v/>
      </c>
    </row>
    <row r="25">
      <c r="A25" s="8" t="inlineStr">
        <is>
          <t>SC2</t>
        </is>
      </c>
      <c r="B25" s="13">
        <f>COUNTIF(C2:C19,A25)</f>
        <v/>
      </c>
      <c r="C25" s="13">
        <f>SUMIF(C2:C19,A25,G2:G19)</f>
        <v/>
      </c>
      <c r="D25" s="13">
        <f>IFERROR(AVERAGEIF(C2:C19,A25,G2:G19),"-")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</cols>
  <sheetData>
    <row r="1" ht="31.5" customHeight="1">
      <c r="A1" s="6" t="inlineStr">
        <is>
          <t>도면</t>
        </is>
      </c>
      <c r="B1" s="6" t="inlineStr">
        <is>
          <t>동·구역</t>
        </is>
      </c>
      <c r="C1" s="6" t="inlineStr">
        <is>
          <t>부호</t>
        </is>
      </c>
      <c r="D1" s="6" t="inlineStr">
        <is>
          <t>인스턴스ID</t>
        </is>
      </c>
      <c r="E1" s="6" t="inlineStr">
        <is>
          <t>측정 소스 도면</t>
        </is>
      </c>
      <c r="F1" s="6" t="inlineStr">
        <is>
          <t>도면 종류</t>
        </is>
      </c>
      <c r="G1" s="6" t="inlineStr">
        <is>
          <t>길이(mm)</t>
        </is>
      </c>
      <c r="H1" s="6" t="inlineStr">
        <is>
          <t>측정 근거</t>
        </is>
      </c>
      <c r="I1" s="6" t="inlineStr">
        <is>
          <t>참조좌표 X</t>
        </is>
      </c>
      <c r="J1" s="6" t="inlineStr">
        <is>
          <t>참조좌표 Y</t>
        </is>
      </c>
      <c r="K1" s="6" t="inlineStr">
        <is>
          <t>신뢰도</t>
        </is>
      </c>
      <c r="L1" s="6" t="inlineStr">
        <is>
          <t>비고</t>
        </is>
      </c>
    </row>
    <row r="2">
      <c r="A2" s="7" t="inlineStr">
        <is>
          <t>도면4</t>
        </is>
      </c>
      <c r="B2" s="8" t="n"/>
      <c r="C2" s="9" t="inlineStr">
        <is>
          <t>SG1</t>
        </is>
      </c>
      <c r="D2" s="8" t="inlineStr">
        <is>
          <t>SG1-001</t>
        </is>
      </c>
      <c r="E2" s="10" t="n"/>
      <c r="F2" s="11" t="n"/>
      <c r="G2" s="11" t="n"/>
      <c r="H2" s="10" t="n"/>
      <c r="I2" s="11" t="n"/>
      <c r="J2" s="11" t="n"/>
      <c r="K2" s="11" t="n"/>
      <c r="L2" s="10" t="n"/>
    </row>
    <row r="3">
      <c r="A3" s="7" t="inlineStr">
        <is>
          <t>도면4</t>
        </is>
      </c>
      <c r="B3" s="8" t="n"/>
      <c r="C3" s="9" t="inlineStr">
        <is>
          <t>SB1</t>
        </is>
      </c>
      <c r="D3" s="8" t="inlineStr">
        <is>
          <t>SB1-001</t>
        </is>
      </c>
      <c r="E3" s="10" t="n"/>
      <c r="F3" s="11" t="n"/>
      <c r="G3" s="11" t="n"/>
      <c r="H3" s="10" t="n"/>
      <c r="I3" s="11" t="n"/>
      <c r="J3" s="11" t="n"/>
      <c r="K3" s="11" t="n"/>
      <c r="L3" s="10" t="n"/>
    </row>
    <row r="6">
      <c r="A6" s="12" t="inlineStr">
        <is>
          <t>── 부호별 요약 (자동) ──</t>
        </is>
      </c>
    </row>
    <row r="7" ht="26" customHeight="1">
      <c r="A7" s="6" t="inlineStr">
        <is>
          <t>부호</t>
        </is>
      </c>
      <c r="B7" s="6" t="inlineStr">
        <is>
          <t>행 수</t>
        </is>
      </c>
      <c r="C7" s="6" t="inlineStr">
        <is>
          <t>총 길이(mm)</t>
        </is>
      </c>
      <c r="D7" s="6" t="inlineStr">
        <is>
          <t>평균 길이(mm)</t>
        </is>
      </c>
    </row>
    <row r="8">
      <c r="A8" s="8" t="inlineStr">
        <is>
          <t>SG1</t>
        </is>
      </c>
      <c r="B8" s="13">
        <f>COUNTIF(C2:C3,A8)</f>
        <v/>
      </c>
      <c r="C8" s="13">
        <f>SUMIF(C2:C3,A8,G2:G3)</f>
        <v/>
      </c>
      <c r="D8" s="13">
        <f>IFERROR(AVERAGEIF(C2:C3,A8,G2:G3),"-")</f>
        <v/>
      </c>
    </row>
    <row r="9">
      <c r="A9" s="8" t="inlineStr">
        <is>
          <t>SB1</t>
        </is>
      </c>
      <c r="B9" s="13">
        <f>COUNTIF(C2:C3,A9)</f>
        <v/>
      </c>
      <c r="C9" s="13">
        <f>SUMIF(C2:C3,A9,G2:G3)</f>
        <v/>
      </c>
      <c r="D9" s="13">
        <f>IFERROR(AVERAGEIF(C2:C3,A9,G2:G3),"-")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Normal="100" workbookViewId="0">
      <pane ySplit="1" topLeftCell="A2" activePane="bottomLeft" state="frozen"/>
      <selection pane="bottomLeft" activeCell="M21" sqref="M21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  <col width="37.36328125" customWidth="1" min="13" max="13"/>
  </cols>
  <sheetData>
    <row r="1">
      <c r="A1" s="6" t="inlineStr">
        <is>
          <t>도면</t>
        </is>
      </c>
      <c r="B1" s="6" t="inlineStr">
        <is>
          <t>동·구역</t>
        </is>
      </c>
      <c r="C1" s="6" t="inlineStr">
        <is>
          <t>부호</t>
        </is>
      </c>
      <c r="D1" s="6" t="inlineStr">
        <is>
          <t>인스턴스ID</t>
        </is>
      </c>
      <c r="E1" s="6" t="inlineStr">
        <is>
          <t>측정 소스 도면</t>
        </is>
      </c>
      <c r="F1" s="6" t="inlineStr">
        <is>
          <t>도면 종류</t>
        </is>
      </c>
      <c r="G1" s="6" t="inlineStr">
        <is>
          <t>길이(mm)</t>
        </is>
      </c>
      <c r="H1" s="6" t="inlineStr">
        <is>
          <t>측정 근거</t>
        </is>
      </c>
      <c r="I1" s="6" t="inlineStr">
        <is>
          <t>참조좌표 X</t>
        </is>
      </c>
      <c r="J1" s="6" t="inlineStr">
        <is>
          <t>참조좌표 Y</t>
        </is>
      </c>
      <c r="K1" s="6" t="inlineStr">
        <is>
          <t>신뢰도</t>
        </is>
      </c>
      <c r="L1" s="6" t="inlineStr">
        <is>
          <t>비고</t>
        </is>
      </c>
    </row>
    <row r="2" ht="62.5" customHeight="1">
      <c r="A2" s="31" t="inlineStr">
        <is>
          <t>도면5</t>
        </is>
      </c>
      <c r="B2" s="8" t="n"/>
      <c r="C2" s="9" t="inlineStr">
        <is>
          <t>C1</t>
        </is>
      </c>
      <c r="D2" s="8" t="inlineStr">
        <is>
          <t>C1-001</t>
        </is>
      </c>
      <c r="E2" s="39" t="inlineStr">
        <is>
          <t>주단면도1, 주단면도4</t>
        </is>
      </c>
      <c r="F2" s="33" t="inlineStr">
        <is>
          <t>단면도</t>
        </is>
      </c>
      <c r="G2" s="11" t="n">
        <v>10500</v>
      </c>
      <c r="H2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2" s="11" t="n"/>
      <c r="J2" s="11" t="n"/>
      <c r="K2" s="11" t="inlineStr">
        <is>
          <t>high</t>
        </is>
      </c>
      <c r="L2" s="42" t="inlineStr">
        <is>
          <t>C1 규격: 300x300x10x15</t>
        </is>
      </c>
      <c r="M2" s="37" t="n"/>
    </row>
    <row r="3" ht="62.5" customHeight="1">
      <c r="A3" s="31" t="inlineStr">
        <is>
          <t>도면5</t>
        </is>
      </c>
      <c r="B3" s="8" t="n"/>
      <c r="C3" s="9" t="inlineStr">
        <is>
          <t>C1</t>
        </is>
      </c>
      <c r="D3" s="8" t="inlineStr">
        <is>
          <t>C1-002</t>
        </is>
      </c>
      <c r="E3" s="39" t="inlineStr">
        <is>
          <t>주단면도1, 주단면도4</t>
        </is>
      </c>
      <c r="F3" s="33" t="inlineStr">
        <is>
          <t>단면도</t>
        </is>
      </c>
      <c r="G3" s="11" t="n">
        <v>10500</v>
      </c>
      <c r="H3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3" s="11" t="n"/>
      <c r="J3" s="11" t="n"/>
      <c r="K3" s="11" t="inlineStr">
        <is>
          <t>high</t>
        </is>
      </c>
      <c r="L3" s="42" t="inlineStr">
        <is>
          <t>C1 규격: 300x300x10x15</t>
        </is>
      </c>
    </row>
    <row r="4" ht="62.5" customHeight="1">
      <c r="A4" s="31" t="inlineStr">
        <is>
          <t>도면5</t>
        </is>
      </c>
      <c r="B4" s="8" t="n"/>
      <c r="C4" s="9" t="inlineStr">
        <is>
          <t>C2</t>
        </is>
      </c>
      <c r="D4" s="8" t="inlineStr">
        <is>
          <t>C2-001</t>
        </is>
      </c>
      <c r="E4" s="39" t="inlineStr">
        <is>
          <t>주단면도1, 주단면도4</t>
        </is>
      </c>
      <c r="F4" s="33" t="inlineStr">
        <is>
          <t>단면도</t>
        </is>
      </c>
      <c r="G4" s="11" t="n">
        <v>10500</v>
      </c>
      <c r="H4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4" s="11" t="n"/>
      <c r="J4" s="11" t="n"/>
      <c r="K4" s="11" t="inlineStr">
        <is>
          <t>high</t>
        </is>
      </c>
      <c r="L4" s="42" t="inlineStr">
        <is>
          <t>C2 규격: 250x250x9x14</t>
        </is>
      </c>
    </row>
    <row r="5" ht="62.5" customHeight="1">
      <c r="A5" s="31" t="inlineStr">
        <is>
          <t>도면5</t>
        </is>
      </c>
      <c r="B5" s="8" t="n"/>
      <c r="C5" s="9" t="inlineStr">
        <is>
          <t>C2</t>
        </is>
      </c>
      <c r="D5" s="8" t="inlineStr">
        <is>
          <t>C2-002</t>
        </is>
      </c>
      <c r="E5" s="39" t="inlineStr">
        <is>
          <t>주단면도1, 주단면도4</t>
        </is>
      </c>
      <c r="F5" s="33" t="inlineStr">
        <is>
          <t>단면도</t>
        </is>
      </c>
      <c r="G5" s="11" t="n">
        <v>10500</v>
      </c>
      <c r="H5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5" s="11" t="n"/>
      <c r="J5" s="11" t="n"/>
      <c r="K5" s="11" t="inlineStr">
        <is>
          <t>high</t>
        </is>
      </c>
      <c r="L5" s="42" t="inlineStr">
        <is>
          <t>C2 규격: 250x250x9x14</t>
        </is>
      </c>
    </row>
    <row r="6" ht="62.5" customHeight="1">
      <c r="A6" s="31" t="inlineStr">
        <is>
          <t>도면5</t>
        </is>
      </c>
      <c r="B6" s="8" t="n"/>
      <c r="C6" s="9" t="inlineStr">
        <is>
          <t>C2</t>
        </is>
      </c>
      <c r="D6" s="8" t="inlineStr">
        <is>
          <t>C2-003</t>
        </is>
      </c>
      <c r="E6" s="39" t="inlineStr">
        <is>
          <t>주단면도1, 주단면도4</t>
        </is>
      </c>
      <c r="F6" s="33" t="inlineStr">
        <is>
          <t>단면도</t>
        </is>
      </c>
      <c r="G6" s="11" t="n">
        <v>10500</v>
      </c>
      <c r="H6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6" s="11" t="n"/>
      <c r="J6" s="11" t="n"/>
      <c r="K6" s="11" t="inlineStr">
        <is>
          <t>high</t>
        </is>
      </c>
      <c r="L6" s="42" t="inlineStr">
        <is>
          <t>C2 규격: 250x250x9x14</t>
        </is>
      </c>
    </row>
    <row r="7" ht="62.5" customHeight="1">
      <c r="A7" s="31" t="inlineStr">
        <is>
          <t>도면5</t>
        </is>
      </c>
      <c r="B7" s="8" t="n"/>
      <c r="C7" s="9" t="inlineStr">
        <is>
          <t>C2</t>
        </is>
      </c>
      <c r="D7" s="8" t="inlineStr">
        <is>
          <t>C2-004</t>
        </is>
      </c>
      <c r="E7" s="39" t="inlineStr">
        <is>
          <t>주단면도1, 주단면도4</t>
        </is>
      </c>
      <c r="F7" s="33" t="inlineStr">
        <is>
          <t>단면도</t>
        </is>
      </c>
      <c r="G7" s="11" t="n">
        <v>10500</v>
      </c>
      <c r="H7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7" s="11" t="n"/>
      <c r="J7" s="11" t="n"/>
      <c r="K7" s="11" t="inlineStr">
        <is>
          <t>high</t>
        </is>
      </c>
      <c r="L7" s="42" t="inlineStr">
        <is>
          <t>C2 규격: 250x250x9x14</t>
        </is>
      </c>
    </row>
    <row r="8" ht="62.5" customHeight="1">
      <c r="A8" s="31" t="inlineStr">
        <is>
          <t>도면5</t>
        </is>
      </c>
      <c r="B8" s="8" t="n"/>
      <c r="C8" s="9" t="inlineStr">
        <is>
          <t>C3</t>
        </is>
      </c>
      <c r="D8" s="8" t="inlineStr">
        <is>
          <t>C3-001</t>
        </is>
      </c>
      <c r="E8" s="39" t="inlineStr">
        <is>
          <t>주단면도1, 주단면도4</t>
        </is>
      </c>
      <c r="F8" s="33" t="inlineStr">
        <is>
          <t>단면도</t>
        </is>
      </c>
      <c r="G8" s="11" t="n">
        <v>10500</v>
      </c>
      <c r="H8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8" s="11" t="n"/>
      <c r="J8" s="11" t="n"/>
      <c r="K8" s="11" t="inlineStr">
        <is>
          <t>high</t>
        </is>
      </c>
      <c r="L8" s="42" t="inlineStr">
        <is>
          <t>C3 규격: 450x200x9x14</t>
        </is>
      </c>
    </row>
    <row r="9" ht="62.5" customHeight="1">
      <c r="A9" s="31" t="inlineStr">
        <is>
          <t>도면5</t>
        </is>
      </c>
      <c r="B9" s="8" t="n"/>
      <c r="C9" s="9" t="inlineStr">
        <is>
          <t>C3</t>
        </is>
      </c>
      <c r="D9" s="8" t="inlineStr">
        <is>
          <t>C3-002</t>
        </is>
      </c>
      <c r="E9" s="39" t="inlineStr">
        <is>
          <t>주단면도1, 주단면도4</t>
        </is>
      </c>
      <c r="F9" s="33" t="inlineStr">
        <is>
          <t>단면도</t>
        </is>
      </c>
      <c r="G9" s="11" t="n">
        <v>10500</v>
      </c>
      <c r="H9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9" s="11" t="n"/>
      <c r="J9" s="11" t="n"/>
      <c r="K9" s="11" t="inlineStr">
        <is>
          <t>high</t>
        </is>
      </c>
      <c r="L9" s="42" t="inlineStr">
        <is>
          <t>C3 규격: 450x200x9x14</t>
        </is>
      </c>
    </row>
    <row r="10" ht="62.5" customHeight="1">
      <c r="A10" s="31" t="inlineStr">
        <is>
          <t>도면5</t>
        </is>
      </c>
      <c r="B10" s="8" t="n"/>
      <c r="C10" s="9" t="inlineStr">
        <is>
          <t>C3</t>
        </is>
      </c>
      <c r="D10" s="8" t="inlineStr">
        <is>
          <t>C3-003</t>
        </is>
      </c>
      <c r="E10" s="39" t="inlineStr">
        <is>
          <t>주단면도1, 주단면도4</t>
        </is>
      </c>
      <c r="F10" s="33" t="inlineStr">
        <is>
          <t>단면도</t>
        </is>
      </c>
      <c r="G10" s="11" t="n">
        <v>10500</v>
      </c>
      <c r="H10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0" s="11" t="n"/>
      <c r="J10" s="11" t="n"/>
      <c r="K10" s="11" t="inlineStr">
        <is>
          <t>high</t>
        </is>
      </c>
      <c r="L10" s="42" t="inlineStr">
        <is>
          <t>C3 규격: 450x200x9x14</t>
        </is>
      </c>
    </row>
    <row r="11" ht="62.5" customHeight="1">
      <c r="A11" s="31" t="inlineStr">
        <is>
          <t>도면5</t>
        </is>
      </c>
      <c r="B11" s="8" t="n"/>
      <c r="C11" s="9" t="inlineStr">
        <is>
          <t>C3</t>
        </is>
      </c>
      <c r="D11" s="8" t="inlineStr">
        <is>
          <t>C3-004</t>
        </is>
      </c>
      <c r="E11" s="39" t="inlineStr">
        <is>
          <t>주단면도1, 주단면도4</t>
        </is>
      </c>
      <c r="F11" s="33" t="inlineStr">
        <is>
          <t>단면도</t>
        </is>
      </c>
      <c r="G11" s="11" t="n">
        <v>10500</v>
      </c>
      <c r="H11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1" s="11" t="n"/>
      <c r="J11" s="11" t="n"/>
      <c r="K11" s="11" t="inlineStr">
        <is>
          <t>high</t>
        </is>
      </c>
      <c r="L11" s="42" t="inlineStr">
        <is>
          <t>C3 규격: 450x200x9x14</t>
        </is>
      </c>
    </row>
    <row r="12" ht="62.5" customHeight="1">
      <c r="A12" s="31" t="inlineStr">
        <is>
          <t>도면5</t>
        </is>
      </c>
      <c r="B12" s="8" t="n"/>
      <c r="C12" s="9" t="inlineStr">
        <is>
          <t>C3</t>
        </is>
      </c>
      <c r="D12" s="8" t="inlineStr">
        <is>
          <t>C3-005</t>
        </is>
      </c>
      <c r="E12" s="39" t="inlineStr">
        <is>
          <t>주단면도1, 주단면도4</t>
        </is>
      </c>
      <c r="F12" s="33" t="inlineStr">
        <is>
          <t>단면도</t>
        </is>
      </c>
      <c r="G12" s="11" t="n">
        <v>10500</v>
      </c>
      <c r="H12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2" s="11" t="n"/>
      <c r="J12" s="11" t="n"/>
      <c r="K12" s="11" t="inlineStr">
        <is>
          <t>high</t>
        </is>
      </c>
      <c r="L12" s="42" t="inlineStr">
        <is>
          <t>C3 규격: 450x200x9x14</t>
        </is>
      </c>
    </row>
    <row r="13" ht="62.5" customHeight="1">
      <c r="A13" s="31" t="inlineStr">
        <is>
          <t>도면5</t>
        </is>
      </c>
      <c r="B13" s="8" t="n"/>
      <c r="C13" s="9" t="inlineStr">
        <is>
          <t>C3</t>
        </is>
      </c>
      <c r="D13" s="8" t="inlineStr">
        <is>
          <t>C3-006</t>
        </is>
      </c>
      <c r="E13" s="39" t="inlineStr">
        <is>
          <t>주단면도1, 주단면도4</t>
        </is>
      </c>
      <c r="F13" s="33" t="inlineStr">
        <is>
          <t>단면도</t>
        </is>
      </c>
      <c r="G13" s="11" t="n">
        <v>10500</v>
      </c>
      <c r="H13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3" s="11" t="n"/>
      <c r="J13" s="11" t="n"/>
      <c r="K13" s="11" t="inlineStr">
        <is>
          <t>high</t>
        </is>
      </c>
      <c r="L13" s="42" t="inlineStr">
        <is>
          <t>C3 규격: 450x200x9x14</t>
        </is>
      </c>
    </row>
    <row r="14" ht="62.5" customHeight="1">
      <c r="A14" s="31" t="inlineStr">
        <is>
          <t>도면5</t>
        </is>
      </c>
      <c r="B14" s="8" t="n"/>
      <c r="C14" s="9" t="inlineStr">
        <is>
          <t>C3</t>
        </is>
      </c>
      <c r="D14" s="8" t="inlineStr">
        <is>
          <t>C3-007</t>
        </is>
      </c>
      <c r="E14" s="39" t="inlineStr">
        <is>
          <t>주단면도1, 주단면도4</t>
        </is>
      </c>
      <c r="F14" s="33" t="inlineStr">
        <is>
          <t>단면도</t>
        </is>
      </c>
      <c r="G14" s="11" t="n">
        <v>10500</v>
      </c>
      <c r="H14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4" s="11" t="n"/>
      <c r="J14" s="11" t="n"/>
      <c r="K14" s="11" t="inlineStr">
        <is>
          <t>high</t>
        </is>
      </c>
      <c r="L14" s="42" t="inlineStr">
        <is>
          <t>C3 규격: 450x200x9x14</t>
        </is>
      </c>
    </row>
    <row r="15" ht="62.5" customHeight="1">
      <c r="A15" s="31" t="inlineStr">
        <is>
          <t>도면5</t>
        </is>
      </c>
      <c r="B15" s="8" t="n"/>
      <c r="C15" s="9" t="inlineStr">
        <is>
          <t>C3</t>
        </is>
      </c>
      <c r="D15" s="8" t="inlineStr">
        <is>
          <t>C3-008</t>
        </is>
      </c>
      <c r="E15" s="39" t="inlineStr">
        <is>
          <t>주단면도1, 주단면도4</t>
        </is>
      </c>
      <c r="F15" s="33" t="inlineStr">
        <is>
          <t>단면도</t>
        </is>
      </c>
      <c r="G15" s="11" t="n">
        <v>10500</v>
      </c>
      <c r="H15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5" s="11" t="n"/>
      <c r="J15" s="11" t="n"/>
      <c r="K15" s="11" t="inlineStr">
        <is>
          <t>high</t>
        </is>
      </c>
      <c r="L15" s="42" t="inlineStr">
        <is>
          <t>C3 규격: 450x200x9x14</t>
        </is>
      </c>
    </row>
    <row r="16" ht="62.5" customHeight="1">
      <c r="A16" s="31" t="inlineStr">
        <is>
          <t>도면5</t>
        </is>
      </c>
      <c r="B16" s="8" t="n"/>
      <c r="C16" s="9" t="inlineStr">
        <is>
          <t>C4</t>
        </is>
      </c>
      <c r="D16" s="8" t="inlineStr">
        <is>
          <t>C4-001</t>
        </is>
      </c>
      <c r="E16" s="39" t="inlineStr">
        <is>
          <t>주단면도1, 주단면도4</t>
        </is>
      </c>
      <c r="F16" s="33" t="inlineStr">
        <is>
          <t>단면도</t>
        </is>
      </c>
      <c r="G16" s="11" t="n">
        <v>10500</v>
      </c>
      <c r="H16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6" s="11" t="n"/>
      <c r="J16" s="11" t="n"/>
      <c r="K16" s="11" t="inlineStr">
        <is>
          <t>high</t>
        </is>
      </c>
      <c r="L16" s="42" t="inlineStr">
        <is>
          <t>C4 규격: 200x200x8x12</t>
        </is>
      </c>
    </row>
    <row r="17" ht="62.5" customHeight="1">
      <c r="A17" s="31" t="inlineStr">
        <is>
          <t>도면5</t>
        </is>
      </c>
      <c r="B17" s="8" t="n"/>
      <c r="C17" s="9" t="inlineStr">
        <is>
          <t>C4</t>
        </is>
      </c>
      <c r="D17" s="8" t="inlineStr">
        <is>
          <t>C4-002</t>
        </is>
      </c>
      <c r="E17" s="39" t="inlineStr">
        <is>
          <t>주단면도1, 주단면도4</t>
        </is>
      </c>
      <c r="F17" s="33" t="inlineStr">
        <is>
          <t>단면도</t>
        </is>
      </c>
      <c r="G17" s="11" t="n">
        <v>10500</v>
      </c>
      <c r="H17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7" s="11" t="n"/>
      <c r="J17" s="11" t="n"/>
      <c r="K17" s="11" t="inlineStr">
        <is>
          <t>high</t>
        </is>
      </c>
      <c r="L17" s="42" t="inlineStr">
        <is>
          <t>C4 규격: 200x200x8x12</t>
        </is>
      </c>
    </row>
    <row r="18" ht="62.5" customHeight="1">
      <c r="A18" s="31" t="inlineStr">
        <is>
          <t>도면5</t>
        </is>
      </c>
      <c r="B18" s="8" t="n"/>
      <c r="C18" s="9" t="inlineStr">
        <is>
          <t>C4</t>
        </is>
      </c>
      <c r="D18" s="8" t="inlineStr">
        <is>
          <t>C4-003</t>
        </is>
      </c>
      <c r="E18" s="39" t="inlineStr">
        <is>
          <t>주단면도1, 주단면도4</t>
        </is>
      </c>
      <c r="F18" s="33" t="inlineStr">
        <is>
          <t>단면도</t>
        </is>
      </c>
      <c r="G18" s="11" t="n">
        <v>10500</v>
      </c>
      <c r="H18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8" s="11" t="n"/>
      <c r="J18" s="11" t="n"/>
      <c r="K18" s="11" t="inlineStr">
        <is>
          <t>high</t>
        </is>
      </c>
      <c r="L18" s="42" t="inlineStr">
        <is>
          <t>C4 규격: 200x200x8x12</t>
        </is>
      </c>
    </row>
    <row r="19" ht="62.5" customHeight="1">
      <c r="A19" s="31" t="inlineStr">
        <is>
          <t>도면5</t>
        </is>
      </c>
      <c r="B19" s="8" t="n"/>
      <c r="C19" s="9" t="inlineStr">
        <is>
          <t>C4</t>
        </is>
      </c>
      <c r="D19" s="8" t="inlineStr">
        <is>
          <t>C4-004</t>
        </is>
      </c>
      <c r="E19" s="39" t="inlineStr">
        <is>
          <t>주단면도1, 주단면도4</t>
        </is>
      </c>
      <c r="F19" s="33" t="inlineStr">
        <is>
          <t>단면도</t>
        </is>
      </c>
      <c r="G19" s="11" t="n">
        <v>10500</v>
      </c>
      <c r="H19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19" s="11" t="n"/>
      <c r="J19" s="11" t="n"/>
      <c r="K19" s="11" t="inlineStr">
        <is>
          <t>high</t>
        </is>
      </c>
      <c r="L19" s="42" t="inlineStr">
        <is>
          <t>C4 규격: 200x200x8x12</t>
        </is>
      </c>
    </row>
    <row r="20" ht="62.5" customHeight="1">
      <c r="A20" s="31" t="inlineStr">
        <is>
          <t>도면5</t>
        </is>
      </c>
      <c r="B20" s="8" t="n"/>
      <c r="C20" s="9" t="inlineStr">
        <is>
          <t>C4</t>
        </is>
      </c>
      <c r="D20" s="8" t="inlineStr">
        <is>
          <t>C4-005</t>
        </is>
      </c>
      <c r="E20" s="39" t="inlineStr">
        <is>
          <t>주단면도1, 주단면도4</t>
        </is>
      </c>
      <c r="F20" s="33" t="inlineStr">
        <is>
          <t>단면도</t>
        </is>
      </c>
      <c r="G20" s="11" t="n">
        <v>10500</v>
      </c>
      <c r="H20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20" s="11" t="n"/>
      <c r="J20" s="11" t="n"/>
      <c r="K20" s="11" t="inlineStr">
        <is>
          <t>high</t>
        </is>
      </c>
      <c r="L20" s="42" t="inlineStr">
        <is>
          <t>C4 규격: 200x200x8x12</t>
        </is>
      </c>
    </row>
    <row r="21" ht="62.5" customHeight="1">
      <c r="A21" s="31" t="inlineStr">
        <is>
          <t>도면5</t>
        </is>
      </c>
      <c r="B21" s="8" t="n"/>
      <c r="C21" s="9" t="inlineStr">
        <is>
          <t>C4</t>
        </is>
      </c>
      <c r="D21" s="8" t="inlineStr">
        <is>
          <t>C4-006</t>
        </is>
      </c>
      <c r="E21" s="39" t="inlineStr">
        <is>
          <t>주단면도1, 주단면도4</t>
        </is>
      </c>
      <c r="F21" s="33" t="inlineStr">
        <is>
          <t>단면도</t>
        </is>
      </c>
      <c r="G21" s="11" t="n">
        <v>10500</v>
      </c>
      <c r="H21" s="32" t="inlineStr">
        <is>
          <t>주단면도1·주단면도4 좌측 치수: 1층바닥(SL+100) ~ 지붕바닥/처마하(SL+8,100) = 8,000mm. DXF 직접 측정으로 검증 (GL Y=-3130210, 1F Y=-3130110, 지붕바닥 Y=-3122110).</t>
        </is>
      </c>
      <c r="I21" s="11" t="n"/>
      <c r="J21" s="11" t="n"/>
      <c r="K21" s="11" t="inlineStr">
        <is>
          <t>high</t>
        </is>
      </c>
      <c r="L21" s="42" t="inlineStr">
        <is>
          <t>C4 규격: 200x200x8x12</t>
        </is>
      </c>
    </row>
    <row r="22"/>
    <row r="23"/>
    <row r="24">
      <c r="A24" s="27" t="inlineStr">
        <is>
          <t>── 부호별 요약 (자동) ──</t>
        </is>
      </c>
    </row>
    <row r="25" ht="26" customHeight="1">
      <c r="A25" s="34" t="inlineStr">
        <is>
          <t>부호</t>
        </is>
      </c>
      <c r="B25" s="34" t="inlineStr">
        <is>
          <t>행 수</t>
        </is>
      </c>
      <c r="C25" s="34" t="inlineStr">
        <is>
          <t>총 길이(mm)</t>
        </is>
      </c>
      <c r="D25" s="34" t="inlineStr">
        <is>
          <t>평균 길이(mm)</t>
        </is>
      </c>
    </row>
    <row r="26">
      <c r="A26" s="8" t="inlineStr">
        <is>
          <t>C1</t>
        </is>
      </c>
      <c r="B26" s="13">
        <f>COUNTIF(C2:C21,A26)</f>
        <v/>
      </c>
      <c r="C26" s="13">
        <f>SUMIF(C2:C21,A26,G2:G21)</f>
        <v/>
      </c>
      <c r="D26" s="13">
        <f>IFERROR(AVERAGEIF(C2:C21,A26,G2:G21),"-")</f>
        <v/>
      </c>
    </row>
    <row r="27">
      <c r="A27" s="8" t="inlineStr">
        <is>
          <t>C2</t>
        </is>
      </c>
      <c r="B27" s="13">
        <f>COUNTIF(C2:C21,A27)</f>
        <v/>
      </c>
      <c r="C27" s="13">
        <f>SUMIF(C2:C21,A27,G2:G21)</f>
        <v/>
      </c>
      <c r="D27" s="13">
        <f>IFERROR(AVERAGEIF(C2:C21,A27,G2:G21),"-")</f>
        <v/>
      </c>
    </row>
    <row r="28">
      <c r="A28" s="8" t="inlineStr">
        <is>
          <t>C3</t>
        </is>
      </c>
      <c r="B28" s="13">
        <f>COUNTIF(C2:C21,A28)</f>
        <v/>
      </c>
      <c r="C28" s="13">
        <f>SUMIF(C2:C21,A28,G2:G21)</f>
        <v/>
      </c>
      <c r="D28" s="13">
        <f>IFERROR(AVERAGEIF(C2:C21,A28,G2:G21),"-")</f>
        <v/>
      </c>
    </row>
    <row r="29">
      <c r="A29" s="8" t="inlineStr">
        <is>
          <t>C4</t>
        </is>
      </c>
      <c r="B29" s="13">
        <f>COUNTIF(C2:C21,A29)</f>
        <v/>
      </c>
      <c r="C29" s="13">
        <f>SUMIF(C2:C21,A29,G2:G21)</f>
        <v/>
      </c>
      <c r="D29" s="13">
        <f>IFERROR(AVERAGEIF(C2:C21,A29,G2:G21),"-")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9"/>
  <sheetViews>
    <sheetView zoomScaleNormal="100" workbookViewId="0">
      <pane ySplit="1" topLeftCell="A2" activePane="bottomLeft" state="frozen"/>
      <selection pane="bottomLeft" activeCell="E21" sqref="E21"/>
    </sheetView>
  </sheetViews>
  <sheetFormatPr baseColWidth="8" defaultColWidth="8.6328125" defaultRowHeight="14.5"/>
  <cols>
    <col width="10" customWidth="1" min="1" max="1"/>
    <col width="12" customWidth="1" min="2" max="2"/>
    <col width="10" customWidth="1" min="3" max="3"/>
    <col width="14" customWidth="1" min="4" max="4"/>
    <col width="28" customWidth="1" min="5" max="5"/>
    <col width="14" customWidth="1" min="6" max="6"/>
    <col width="12" customWidth="1" min="7" max="7"/>
    <col width="36" customWidth="1" min="8" max="8"/>
    <col width="14" customWidth="1" min="9" max="10"/>
    <col width="10" customWidth="1" min="11" max="11"/>
    <col width="24" customWidth="1" min="12" max="12"/>
  </cols>
  <sheetData>
    <row r="1" ht="31.5" customHeight="1">
      <c r="A1" s="6" t="inlineStr">
        <is>
          <t>도면</t>
        </is>
      </c>
      <c r="B1" s="6" t="inlineStr">
        <is>
          <t>동·구역</t>
        </is>
      </c>
      <c r="C1" s="6" t="inlineStr">
        <is>
          <t>부호</t>
        </is>
      </c>
      <c r="D1" s="6" t="inlineStr">
        <is>
          <t>인스턴스ID</t>
        </is>
      </c>
      <c r="E1" s="6" t="inlineStr">
        <is>
          <t>측정 소스 도면</t>
        </is>
      </c>
      <c r="F1" s="6" t="inlineStr">
        <is>
          <t>도면 종류</t>
        </is>
      </c>
      <c r="G1" s="6" t="inlineStr">
        <is>
          <t>길이(mm)</t>
        </is>
      </c>
      <c r="H1" s="6" t="inlineStr">
        <is>
          <t>측정 근거</t>
        </is>
      </c>
      <c r="I1" s="6" t="inlineStr">
        <is>
          <t>참조좌표 X</t>
        </is>
      </c>
      <c r="J1" s="6" t="inlineStr">
        <is>
          <t>참조좌표 Y</t>
        </is>
      </c>
      <c r="K1" s="6" t="inlineStr">
        <is>
          <t>신뢰도</t>
        </is>
      </c>
      <c r="L1" s="6" t="inlineStr">
        <is>
          <t>비고</t>
        </is>
      </c>
    </row>
    <row r="2">
      <c r="A2" s="7" t="inlineStr">
        <is>
          <t>도면5</t>
        </is>
      </c>
      <c r="B2" s="8" t="n"/>
      <c r="C2" s="9" t="inlineStr">
        <is>
          <t>G1</t>
        </is>
      </c>
      <c r="D2" s="8" t="inlineStr">
        <is>
          <t>G1-001</t>
        </is>
      </c>
      <c r="E2" s="10" t="n"/>
      <c r="F2" s="11" t="n"/>
      <c r="G2" s="11" t="n"/>
      <c r="H2" s="10" t="n"/>
      <c r="I2" s="11" t="n"/>
      <c r="J2" s="11" t="n"/>
      <c r="K2" s="11" t="n"/>
      <c r="L2" s="10" t="n"/>
    </row>
    <row r="3">
      <c r="A3" s="7" t="inlineStr">
        <is>
          <t>도면5</t>
        </is>
      </c>
      <c r="B3" s="8" t="n"/>
      <c r="C3" s="9" t="inlineStr">
        <is>
          <t>G2</t>
        </is>
      </c>
      <c r="D3" s="8" t="inlineStr">
        <is>
          <t>G2-001</t>
        </is>
      </c>
      <c r="E3" s="10" t="n"/>
      <c r="F3" s="11" t="n"/>
      <c r="G3" s="11" t="n"/>
      <c r="H3" s="10" t="n"/>
      <c r="I3" s="11" t="n"/>
      <c r="J3" s="11" t="n"/>
      <c r="K3" s="11" t="n"/>
      <c r="L3" s="10" t="n"/>
    </row>
    <row r="4">
      <c r="A4" s="7" t="inlineStr">
        <is>
          <t>도면5</t>
        </is>
      </c>
      <c r="B4" s="8" t="n"/>
      <c r="C4" s="9" t="inlineStr">
        <is>
          <t>G3</t>
        </is>
      </c>
      <c r="D4" s="8" t="inlineStr">
        <is>
          <t>G3-001</t>
        </is>
      </c>
      <c r="E4" s="10" t="n"/>
      <c r="F4" s="11" t="n"/>
      <c r="G4" s="11" t="n"/>
      <c r="H4" s="10" t="n"/>
      <c r="I4" s="11" t="n"/>
      <c r="J4" s="11" t="n"/>
      <c r="K4" s="11" t="n"/>
      <c r="L4" s="10" t="n"/>
    </row>
    <row r="5">
      <c r="A5" s="7" t="inlineStr">
        <is>
          <t>도면5</t>
        </is>
      </c>
      <c r="B5" s="8" t="n"/>
      <c r="C5" s="9" t="inlineStr">
        <is>
          <t>G4</t>
        </is>
      </c>
      <c r="D5" s="8" t="inlineStr">
        <is>
          <t>G4-001</t>
        </is>
      </c>
      <c r="E5" s="10" t="n"/>
      <c r="F5" s="11" t="n"/>
      <c r="G5" s="11" t="n"/>
      <c r="H5" s="10" t="n"/>
      <c r="I5" s="11" t="n"/>
      <c r="J5" s="11" t="n"/>
      <c r="K5" s="11" t="n"/>
      <c r="L5" s="10" t="n"/>
    </row>
    <row r="6">
      <c r="A6" s="7" t="inlineStr">
        <is>
          <t>도면5</t>
        </is>
      </c>
      <c r="B6" s="8" t="n"/>
      <c r="C6" s="9" t="inlineStr">
        <is>
          <t>G5</t>
        </is>
      </c>
      <c r="D6" s="8" t="inlineStr">
        <is>
          <t>G5-001</t>
        </is>
      </c>
      <c r="E6" s="10" t="n"/>
      <c r="F6" s="11" t="n"/>
      <c r="G6" s="11" t="n"/>
      <c r="H6" s="10" t="n"/>
      <c r="I6" s="11" t="n"/>
      <c r="J6" s="11" t="n"/>
      <c r="K6" s="11" t="n"/>
      <c r="L6" s="10" t="n"/>
    </row>
    <row r="7">
      <c r="A7" s="7" t="inlineStr">
        <is>
          <t>도면5</t>
        </is>
      </c>
      <c r="B7" s="8" t="n"/>
      <c r="C7" s="9" t="inlineStr">
        <is>
          <t>MG1</t>
        </is>
      </c>
      <c r="D7" s="8" t="inlineStr">
        <is>
          <t>MG1-001</t>
        </is>
      </c>
      <c r="E7" s="10" t="n"/>
      <c r="F7" s="11" t="n"/>
      <c r="G7" s="11" t="n"/>
      <c r="H7" s="10" t="n"/>
      <c r="I7" s="11" t="n"/>
      <c r="J7" s="11" t="n"/>
      <c r="K7" s="11" t="n"/>
      <c r="L7" s="10" t="n"/>
    </row>
    <row r="8">
      <c r="A8" s="7" t="inlineStr">
        <is>
          <t>도면5</t>
        </is>
      </c>
      <c r="B8" s="8" t="n"/>
      <c r="C8" s="9" t="inlineStr">
        <is>
          <t>MG2</t>
        </is>
      </c>
      <c r="D8" s="8" t="inlineStr">
        <is>
          <t>MG2-001</t>
        </is>
      </c>
      <c r="E8" s="10" t="n"/>
      <c r="F8" s="11" t="n"/>
      <c r="G8" s="11" t="n"/>
      <c r="H8" s="10" t="n"/>
      <c r="I8" s="11" t="n"/>
      <c r="J8" s="11" t="n"/>
      <c r="K8" s="11" t="n"/>
      <c r="L8" s="10" t="n"/>
    </row>
    <row r="9">
      <c r="A9" s="7" t="inlineStr">
        <is>
          <t>도면5</t>
        </is>
      </c>
      <c r="B9" s="8" t="n"/>
      <c r="C9" s="9" t="inlineStr">
        <is>
          <t>B1</t>
        </is>
      </c>
      <c r="D9" s="8" t="inlineStr">
        <is>
          <t>B1-001</t>
        </is>
      </c>
      <c r="E9" s="10" t="n"/>
      <c r="F9" s="11" t="n"/>
      <c r="G9" s="11" t="n"/>
      <c r="H9" s="10" t="n"/>
      <c r="I9" s="11" t="n"/>
      <c r="J9" s="11" t="n"/>
      <c r="K9" s="11" t="n"/>
      <c r="L9" s="10" t="n"/>
    </row>
    <row r="10">
      <c r="A10" s="7" t="inlineStr">
        <is>
          <t>도면5</t>
        </is>
      </c>
      <c r="B10" s="8" t="n"/>
      <c r="C10" s="9" t="inlineStr">
        <is>
          <t>RG1</t>
        </is>
      </c>
      <c r="D10" s="8" t="inlineStr">
        <is>
          <t>RG1-001</t>
        </is>
      </c>
      <c r="E10" s="10" t="n"/>
      <c r="F10" s="11" t="n"/>
      <c r="G10" s="11" t="n"/>
      <c r="H10" s="10" t="n"/>
      <c r="I10" s="11" t="n"/>
      <c r="J10" s="11" t="n"/>
      <c r="K10" s="11" t="n"/>
      <c r="L10" s="10" t="n"/>
    </row>
    <row r="11">
      <c r="A11" s="7" t="inlineStr">
        <is>
          <t>도면5</t>
        </is>
      </c>
      <c r="B11" s="8" t="n"/>
      <c r="C11" s="9" t="inlineStr">
        <is>
          <t>RG3</t>
        </is>
      </c>
      <c r="D11" s="8" t="inlineStr">
        <is>
          <t>RG3-001</t>
        </is>
      </c>
      <c r="E11" s="10" t="n"/>
      <c r="F11" s="11" t="n"/>
      <c r="G11" s="11" t="n"/>
      <c r="H11" s="10" t="n"/>
      <c r="I11" s="11" t="n"/>
      <c r="J11" s="11" t="n"/>
      <c r="K11" s="11" t="n"/>
      <c r="L11" s="10" t="n"/>
    </row>
    <row r="12">
      <c r="A12" s="7" t="inlineStr">
        <is>
          <t>도면5</t>
        </is>
      </c>
      <c r="B12" s="8" t="n"/>
      <c r="C12" s="9" t="inlineStr">
        <is>
          <t>RB1</t>
        </is>
      </c>
      <c r="D12" s="8" t="inlineStr">
        <is>
          <t>RB1-001</t>
        </is>
      </c>
      <c r="E12" s="10" t="n"/>
      <c r="F12" s="11" t="n"/>
      <c r="G12" s="11" t="n"/>
      <c r="H12" s="10" t="n"/>
      <c r="I12" s="11" t="n"/>
      <c r="J12" s="11" t="n"/>
      <c r="K12" s="11" t="n"/>
      <c r="L12" s="10" t="n"/>
    </row>
    <row r="13">
      <c r="A13" s="7" t="inlineStr">
        <is>
          <t>도면5</t>
        </is>
      </c>
      <c r="B13" s="8" t="n"/>
      <c r="C13" s="9" t="inlineStr">
        <is>
          <t>RS1</t>
        </is>
      </c>
      <c r="D13" s="8" t="inlineStr">
        <is>
          <t>RS1-001</t>
        </is>
      </c>
      <c r="E13" s="10" t="n"/>
      <c r="F13" s="11" t="n"/>
      <c r="G13" s="11" t="n"/>
      <c r="H13" s="10" t="n"/>
      <c r="I13" s="11" t="n"/>
      <c r="J13" s="11" t="n"/>
      <c r="K13" s="11" t="n"/>
      <c r="L13" s="10" t="n"/>
    </row>
    <row r="16">
      <c r="A16" s="12" t="inlineStr">
        <is>
          <t>── 부호별 요약 (자동) ──</t>
        </is>
      </c>
    </row>
    <row r="17" ht="26" customHeight="1">
      <c r="A17" s="6" t="inlineStr">
        <is>
          <t>부호</t>
        </is>
      </c>
      <c r="B17" s="6" t="inlineStr">
        <is>
          <t>행 수</t>
        </is>
      </c>
      <c r="C17" s="6" t="inlineStr">
        <is>
          <t>총 길이(mm)</t>
        </is>
      </c>
      <c r="D17" s="6" t="inlineStr">
        <is>
          <t>평균 길이(mm)</t>
        </is>
      </c>
    </row>
    <row r="18">
      <c r="A18" s="8" t="inlineStr">
        <is>
          <t>G1</t>
        </is>
      </c>
      <c r="B18" s="13">
        <f>COUNTIF(C2:C13,A18)</f>
        <v/>
      </c>
      <c r="C18" s="13">
        <f>SUMIF(C2:C13,A18,G2:G13)</f>
        <v/>
      </c>
      <c r="D18" s="13">
        <f>IFERROR(AVERAGEIF(C2:C13,A18,G2:G13),"-")</f>
        <v/>
      </c>
    </row>
    <row r="19">
      <c r="A19" s="8" t="inlineStr">
        <is>
          <t>G2</t>
        </is>
      </c>
      <c r="B19" s="13">
        <f>COUNTIF(C2:C13,A19)</f>
        <v/>
      </c>
      <c r="C19" s="13">
        <f>SUMIF(C2:C13,A19,G2:G13)</f>
        <v/>
      </c>
      <c r="D19" s="13">
        <f>IFERROR(AVERAGEIF(C2:C13,A19,G2:G13),"-")</f>
        <v/>
      </c>
    </row>
    <row r="20">
      <c r="A20" s="8" t="inlineStr">
        <is>
          <t>G3</t>
        </is>
      </c>
      <c r="B20" s="13">
        <f>COUNTIF(C2:C13,A20)</f>
        <v/>
      </c>
      <c r="C20" s="13">
        <f>SUMIF(C2:C13,A20,G2:G13)</f>
        <v/>
      </c>
      <c r="D20" s="13">
        <f>IFERROR(AVERAGEIF(C2:C13,A20,G2:G13),"-")</f>
        <v/>
      </c>
    </row>
    <row r="21">
      <c r="A21" s="8" t="inlineStr">
        <is>
          <t>G4</t>
        </is>
      </c>
      <c r="B21" s="13">
        <f>COUNTIF(C2:C13,A21)</f>
        <v/>
      </c>
      <c r="C21" s="13">
        <f>SUMIF(C2:C13,A21,G2:G13)</f>
        <v/>
      </c>
      <c r="D21" s="13">
        <f>IFERROR(AVERAGEIF(C2:C13,A21,G2:G13),"-")</f>
        <v/>
      </c>
    </row>
    <row r="22">
      <c r="A22" s="8" t="inlineStr">
        <is>
          <t>G5</t>
        </is>
      </c>
      <c r="B22" s="13">
        <f>COUNTIF(C2:C13,A22)</f>
        <v/>
      </c>
      <c r="C22" s="13">
        <f>SUMIF(C2:C13,A22,G2:G13)</f>
        <v/>
      </c>
      <c r="D22" s="13">
        <f>IFERROR(AVERAGEIF(C2:C13,A22,G2:G13),"-")</f>
        <v/>
      </c>
    </row>
    <row r="23">
      <c r="A23" s="8" t="inlineStr">
        <is>
          <t>MG1</t>
        </is>
      </c>
      <c r="B23" s="13">
        <f>COUNTIF(C2:C13,A23)</f>
        <v/>
      </c>
      <c r="C23" s="13">
        <f>SUMIF(C2:C13,A23,G2:G13)</f>
        <v/>
      </c>
      <c r="D23" s="13">
        <f>IFERROR(AVERAGEIF(C2:C13,A23,G2:G13),"-")</f>
        <v/>
      </c>
    </row>
    <row r="24">
      <c r="A24" s="8" t="inlineStr">
        <is>
          <t>MG2</t>
        </is>
      </c>
      <c r="B24" s="13">
        <f>COUNTIF(C2:C13,A24)</f>
        <v/>
      </c>
      <c r="C24" s="13">
        <f>SUMIF(C2:C13,A24,G2:G13)</f>
        <v/>
      </c>
      <c r="D24" s="13">
        <f>IFERROR(AVERAGEIF(C2:C13,A24,G2:G13),"-")</f>
        <v/>
      </c>
    </row>
    <row r="25">
      <c r="A25" s="8" t="inlineStr">
        <is>
          <t>B1</t>
        </is>
      </c>
      <c r="B25" s="13">
        <f>COUNTIF(C2:C13,A25)</f>
        <v/>
      </c>
      <c r="C25" s="13">
        <f>SUMIF(C2:C13,A25,G2:G13)</f>
        <v/>
      </c>
      <c r="D25" s="13">
        <f>IFERROR(AVERAGEIF(C2:C13,A25,G2:G13),"-")</f>
        <v/>
      </c>
    </row>
    <row r="26">
      <c r="A26" s="8" t="inlineStr">
        <is>
          <t>RG1</t>
        </is>
      </c>
      <c r="B26" s="13">
        <f>COUNTIF(C2:C13,A26)</f>
        <v/>
      </c>
      <c r="C26" s="13">
        <f>SUMIF(C2:C13,A26,G2:G13)</f>
        <v/>
      </c>
      <c r="D26" s="13">
        <f>IFERROR(AVERAGEIF(C2:C13,A26,G2:G13),"-")</f>
        <v/>
      </c>
    </row>
    <row r="27">
      <c r="A27" s="8" t="inlineStr">
        <is>
          <t>RG3</t>
        </is>
      </c>
      <c r="B27" s="13">
        <f>COUNTIF(C2:C13,A27)</f>
        <v/>
      </c>
      <c r="C27" s="13">
        <f>SUMIF(C2:C13,A27,G2:G13)</f>
        <v/>
      </c>
      <c r="D27" s="13">
        <f>IFERROR(AVERAGEIF(C2:C13,A27,G2:G13),"-")</f>
        <v/>
      </c>
    </row>
    <row r="28">
      <c r="A28" s="8" t="inlineStr">
        <is>
          <t>RB1</t>
        </is>
      </c>
      <c r="B28" s="13">
        <f>COUNTIF(C2:C13,A28)</f>
        <v/>
      </c>
      <c r="C28" s="13">
        <f>SUMIF(C2:C13,A28,G2:G13)</f>
        <v/>
      </c>
      <c r="D28" s="13">
        <f>IFERROR(AVERAGEIF(C2:C13,A28,G2:G13),"-")</f>
        <v/>
      </c>
    </row>
    <row r="29">
      <c r="A29" s="8" t="inlineStr">
        <is>
          <t>RS1</t>
        </is>
      </c>
      <c r="B29" s="13">
        <f>COUNTIF(C2:C13,A29)</f>
        <v/>
      </c>
      <c r="C29" s="13">
        <f>SUMIF(C2:C13,A29,G2:G13)</f>
        <v/>
      </c>
      <c r="D29" s="13">
        <f>IFERROR(AVERAGEIF(C2:C13,A29,G2:G13),"-")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Normal="100" workbookViewId="0">
      <pane ySplit="1" topLeftCell="A2" activePane="bottomLeft" state="frozen"/>
      <selection pane="bottomLeft" activeCell="E25" sqref="E25"/>
    </sheetView>
  </sheetViews>
  <sheetFormatPr baseColWidth="8" defaultColWidth="8.6328125" defaultRowHeight="14.5"/>
  <cols>
    <col width="8" customWidth="1" min="1" max="1"/>
    <col width="22" customWidth="1" min="2" max="2"/>
    <col width="12" customWidth="1" min="3" max="4"/>
    <col width="10" customWidth="1" min="5" max="6"/>
    <col width="16" customWidth="1" min="7" max="7"/>
    <col width="24" customWidth="1" min="8" max="8"/>
  </cols>
  <sheetData>
    <row r="1" ht="31.5" customHeight="1">
      <c r="A1" s="6" t="inlineStr">
        <is>
          <t>타입</t>
        </is>
      </c>
      <c r="B1" s="6" t="inlineStr">
        <is>
          <t>규격 원문</t>
        </is>
      </c>
      <c r="C1" s="15" t="inlineStr">
        <is>
          <t>H춤(mm)</t>
        </is>
      </c>
      <c r="D1" s="15" t="inlineStr">
        <is>
          <t>B폭(mm)</t>
        </is>
      </c>
      <c r="E1" s="15" t="inlineStr">
        <is>
          <t>tw(mm)</t>
        </is>
      </c>
      <c r="F1" s="15" t="inlineStr">
        <is>
          <t>tf(mm)</t>
        </is>
      </c>
      <c r="G1" s="6" t="inlineStr">
        <is>
          <t>단위중량(kg/m)</t>
        </is>
      </c>
      <c r="H1" s="6" t="inlineStr">
        <is>
          <t>출처</t>
        </is>
      </c>
    </row>
    <row r="2">
      <c r="A2" s="11" t="inlineStr">
        <is>
          <t>H</t>
        </is>
      </c>
      <c r="B2" s="11" t="inlineStr">
        <is>
          <t>H-400x200x8x13</t>
        </is>
      </c>
      <c r="C2" s="11" t="n">
        <v>400</v>
      </c>
      <c r="D2" s="11" t="n">
        <v>200</v>
      </c>
      <c r="E2" s="11" t="n">
        <v>8</v>
      </c>
      <c r="F2" s="11" t="n">
        <v>13</v>
      </c>
      <c r="G2" s="11" t="n">
        <v>65.40000000000001</v>
      </c>
      <c r="H2" s="11" t="inlineStr">
        <is>
          <t>KS D 3502</t>
        </is>
      </c>
    </row>
    <row r="4">
      <c r="A4" s="40" t="inlineStr">
        <is>
          <t>* 이 시트는 선택사항. 부호→규격 매핑이 (도면, 부호)로 결정되면 별도 규격 정답지에서 가져와도 됨.</t>
        </is>
      </c>
    </row>
  </sheetData>
  <mergeCells count="1">
    <mergeCell ref="A4:H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2026-05-22T03:54:01Z</dcterms:created>
  <dcterms:modified xmlns:dcterms="http://purl.org/dc/terms/" xmlns:xsi="http://www.w3.org/2001/XMLSchema-instance" xsi:type="dcterms:W3CDTF">2026-05-27T04:02:07Z</dcterms:modified>
  <cp:lastModifiedBy>사랑 최</cp:lastModifiedBy>
  <cp:revision>0</cp:revision>
</cp:coreProperties>
</file>